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vlasschuur.sharepoint.com/sites/DeVlasschuurB.V-Administratie/Shared Documents/Administratie/Doelstelling De Vlasschuur/"/>
    </mc:Choice>
  </mc:AlternateContent>
  <xr:revisionPtr revIDLastSave="0" documentId="8_{845B7A4E-C726-487D-AD83-609C8489D732}" xr6:coauthVersionLast="47" xr6:coauthVersionMax="47" xr10:uidLastSave="{00000000-0000-0000-0000-000000000000}"/>
  <bookViews>
    <workbookView xWindow="-36140" yWindow="-780" windowWidth="29400" windowHeight="17260" firstSheet="1" activeTab="1" xr2:uid="{00000000-000D-0000-FFFF-FFFF00000000}"/>
  </bookViews>
  <sheets>
    <sheet name="Uitleg" sheetId="3" r:id="rId1"/>
    <sheet name="Weekly Dashboard" sheetId="5" r:id="rId2"/>
    <sheet name="Grafieken" sheetId="8" r:id="rId3"/>
    <sheet name="Monthly Dashboard" sheetId="4" r:id="rId4"/>
    <sheet name="Berekening bezettingsgraad" sheetId="6" r:id="rId5"/>
    <sheet name="Aantal contact mom. opdr.gever." sheetId="7" r:id="rId6"/>
  </sheets>
  <definedNames>
    <definedName name="_xlnm._FilterDatabase" localSheetId="5" hidden="1">'Aantal contact mom. opdr.gever.'!$A$1:$AG$29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M15" i="6" l="1"/>
  <c r="DM16" i="6" s="1"/>
  <c r="DL15" i="6"/>
  <c r="DK15" i="6"/>
  <c r="DJ15" i="6"/>
  <c r="DI15" i="6"/>
  <c r="DE15" i="6"/>
  <c r="DF15" i="6"/>
  <c r="DG15" i="6"/>
  <c r="CZ15" i="6"/>
  <c r="DA15" i="6"/>
  <c r="DB15" i="6"/>
  <c r="CU15" i="6"/>
  <c r="CV15" i="6"/>
  <c r="CW15" i="6"/>
  <c r="CO15" i="6"/>
  <c r="CP15" i="6"/>
  <c r="CQ15" i="6"/>
  <c r="CR15" i="6"/>
  <c r="CS15" i="6"/>
  <c r="CN15" i="6"/>
  <c r="CM15" i="6"/>
  <c r="CL15" i="6"/>
  <c r="CK15" i="6"/>
  <c r="CJ15" i="6"/>
  <c r="CI15" i="6"/>
  <c r="CH15" i="6"/>
  <c r="CG15" i="6"/>
  <c r="CF15" i="6"/>
  <c r="CE15" i="6"/>
  <c r="CN16" i="6" l="1"/>
  <c r="CS16" i="6"/>
  <c r="CI16" i="6"/>
  <c r="CD15" i="6"/>
  <c r="CC15" i="6"/>
  <c r="CB15" i="6"/>
  <c r="CA15" i="6"/>
  <c r="BZ15" i="6"/>
  <c r="BY15" i="6"/>
  <c r="BU15" i="6"/>
  <c r="BX15" i="6"/>
  <c r="BW15" i="6"/>
  <c r="BV15" i="6"/>
  <c r="CD16" i="6" l="1"/>
  <c r="BY16" i="6"/>
  <c r="BT15" i="6"/>
  <c r="BS15" i="6" l="1"/>
  <c r="BR15" i="6"/>
  <c r="BQ15" i="6"/>
  <c r="BP15" i="6"/>
  <c r="BO15" i="6"/>
  <c r="BN15" i="6"/>
  <c r="BM15" i="6"/>
  <c r="BL15" i="6"/>
  <c r="BK15" i="6"/>
  <c r="BJ15" i="6"/>
  <c r="BI15" i="6"/>
  <c r="BH15" i="6"/>
  <c r="BG15" i="6"/>
  <c r="BF15" i="6"/>
  <c r="E9" i="5"/>
  <c r="F9" i="5" s="1"/>
  <c r="G9" i="5" s="1"/>
  <c r="H9" i="5" s="1"/>
  <c r="I9" i="5" s="1"/>
  <c r="J9" i="5" s="1"/>
  <c r="K9" i="5" s="1"/>
  <c r="L9" i="5" s="1"/>
  <c r="M9" i="5" s="1"/>
  <c r="N9" i="5" s="1"/>
  <c r="O9" i="5" s="1"/>
  <c r="P9" i="5" s="1"/>
  <c r="Q9" i="5" s="1"/>
  <c r="R9" i="5" s="1"/>
  <c r="S9" i="5" s="1"/>
  <c r="T9" i="5" s="1"/>
  <c r="U9" i="5" s="1"/>
  <c r="V9" i="5" s="1"/>
  <c r="W9" i="5" s="1"/>
  <c r="X9" i="5" s="1"/>
  <c r="Y9" i="5" s="1"/>
  <c r="Z9" i="5" s="1"/>
  <c r="AA9" i="5" s="1"/>
  <c r="AB9" i="5" s="1"/>
  <c r="AC9" i="5" s="1"/>
  <c r="AD9" i="5" s="1"/>
  <c r="AE9" i="5" s="1"/>
  <c r="AF9" i="5" s="1"/>
  <c r="AG9" i="5" s="1"/>
  <c r="AH9" i="5" s="1"/>
  <c r="AI9" i="5" s="1"/>
  <c r="AJ9" i="5" s="1"/>
  <c r="AK9" i="5" s="1"/>
  <c r="AL9" i="5" s="1"/>
  <c r="AM9" i="5" s="1"/>
  <c r="AN9" i="5" s="1"/>
  <c r="AO9" i="5" s="1"/>
  <c r="D9" i="5"/>
  <c r="BC15" i="6"/>
  <c r="BD15" i="6"/>
  <c r="BB15" i="6"/>
  <c r="BT16" i="6" l="1"/>
  <c r="BO16" i="6"/>
  <c r="BJ16" i="6"/>
  <c r="AW15" i="6"/>
  <c r="AX15" i="6"/>
  <c r="AY15" i="6"/>
  <c r="AQ15" i="6"/>
  <c r="AU15" i="6"/>
  <c r="AT15" i="6"/>
  <c r="AS15" i="6"/>
  <c r="AR15" i="6"/>
  <c r="AP15" i="6"/>
  <c r="AO15" i="6"/>
  <c r="AN15" i="6"/>
  <c r="AM15" i="6"/>
  <c r="AL15" i="6"/>
  <c r="AK15" i="6"/>
  <c r="AJ15" i="6"/>
  <c r="AI15" i="6"/>
  <c r="AH15" i="6"/>
  <c r="AG15" i="6"/>
  <c r="AC15" i="6"/>
  <c r="AD15" i="6"/>
  <c r="AE15" i="6"/>
  <c r="AA15" i="6"/>
  <c r="Z15" i="6"/>
  <c r="Y15" i="6"/>
  <c r="X15" i="6"/>
  <c r="W14" i="6"/>
  <c r="W13" i="6"/>
  <c r="W11" i="6"/>
  <c r="W7" i="6"/>
  <c r="W5" i="6"/>
  <c r="W4" i="6"/>
  <c r="V15" i="6"/>
  <c r="U15" i="6"/>
  <c r="T15" i="6"/>
  <c r="S15" i="6"/>
  <c r="R14" i="6"/>
  <c r="R13" i="6"/>
  <c r="R11" i="6"/>
  <c r="R9" i="6"/>
  <c r="R7" i="6"/>
  <c r="R6" i="6"/>
  <c r="R5" i="6"/>
  <c r="R4" i="6"/>
  <c r="Q15" i="6"/>
  <c r="N15" i="6"/>
  <c r="O15" i="6"/>
  <c r="P15" i="6"/>
  <c r="J31" i="7"/>
  <c r="K31" i="7"/>
  <c r="I31" i="7"/>
  <c r="M5" i="6"/>
  <c r="M6" i="6"/>
  <c r="M7" i="6"/>
  <c r="M8" i="6"/>
  <c r="M9" i="6"/>
  <c r="M11" i="6"/>
  <c r="M12" i="6"/>
  <c r="M13" i="6"/>
  <c r="M14" i="6"/>
  <c r="M4" i="6"/>
  <c r="L15" i="6"/>
  <c r="G15" i="6"/>
  <c r="H5" i="6"/>
  <c r="H6" i="6"/>
  <c r="H7" i="6"/>
  <c r="H8" i="6"/>
  <c r="H9" i="6"/>
  <c r="H10" i="6"/>
  <c r="H11" i="6"/>
  <c r="H12" i="6"/>
  <c r="H13" i="6"/>
  <c r="H14" i="6"/>
  <c r="H4" i="6"/>
  <c r="D15" i="6"/>
  <c r="E15" i="6"/>
  <c r="F15" i="6"/>
  <c r="C21" i="6"/>
  <c r="AU16" i="6" l="1"/>
  <c r="AP16" i="6"/>
  <c r="AK16" i="6"/>
  <c r="W15" i="6"/>
  <c r="AA16" i="6" s="1"/>
  <c r="R15" i="6"/>
  <c r="V16" i="6" s="1"/>
  <c r="M15" i="6"/>
  <c r="Q16" i="6" s="1"/>
  <c r="C8" i="6"/>
  <c r="C5" i="6"/>
  <c r="C6" i="6"/>
  <c r="C7" i="6"/>
  <c r="C9" i="6"/>
  <c r="C10" i="6"/>
  <c r="C11" i="6"/>
  <c r="C12" i="6"/>
  <c r="C13" i="6"/>
  <c r="C14" i="6"/>
  <c r="C4" i="6"/>
  <c r="EI15" i="6"/>
  <c r="EJ15" i="6"/>
  <c r="EK15" i="6"/>
  <c r="EL15" i="6"/>
  <c r="EM15" i="6"/>
  <c r="EN15" i="6"/>
  <c r="EO15" i="6"/>
  <c r="EP15" i="6"/>
  <c r="DN15" i="6"/>
  <c r="DO15" i="6"/>
  <c r="DP15" i="6"/>
  <c r="DQ15" i="6"/>
  <c r="DR15" i="6"/>
  <c r="DS15" i="6"/>
  <c r="DT15" i="6"/>
  <c r="DU15" i="6"/>
  <c r="DV15" i="6"/>
  <c r="DW15" i="6"/>
  <c r="DX15" i="6"/>
  <c r="DY15" i="6"/>
  <c r="DZ15" i="6"/>
  <c r="EA15" i="6"/>
  <c r="EB15" i="6"/>
  <c r="EC15" i="6"/>
  <c r="ED15" i="6"/>
  <c r="EE15" i="6"/>
  <c r="EF15" i="6"/>
  <c r="EG15" i="6"/>
  <c r="EH15" i="6"/>
  <c r="B34" i="6"/>
  <c r="D34" i="6" s="1"/>
  <c r="AB15" i="6"/>
  <c r="AF15" i="6"/>
  <c r="B36" i="6"/>
  <c r="D36" i="6" s="1"/>
  <c r="B37" i="6"/>
  <c r="D37" i="6" s="1"/>
  <c r="B38" i="6"/>
  <c r="D38" i="6" s="1"/>
  <c r="AV15" i="6"/>
  <c r="AZ15" i="6"/>
  <c r="BA15" i="6"/>
  <c r="BE15" i="6"/>
  <c r="CT15" i="6"/>
  <c r="CX15" i="6"/>
  <c r="CX16" i="6" s="1"/>
  <c r="CY15" i="6"/>
  <c r="DC15" i="6"/>
  <c r="DC16" i="6" s="1"/>
  <c r="DD15" i="6"/>
  <c r="DH15" i="6"/>
  <c r="DH16" i="6" s="1"/>
  <c r="C40" i="6"/>
  <c r="B31" i="6"/>
  <c r="D31" i="6" s="1"/>
  <c r="H15" i="6"/>
  <c r="L16" i="6" s="1"/>
  <c r="B29" i="6"/>
  <c r="D29" i="6" s="1"/>
  <c r="B28" i="6"/>
  <c r="D28" i="6" s="1"/>
  <c r="B27" i="6"/>
  <c r="B15" i="6"/>
  <c r="BE16" i="6" l="1"/>
  <c r="B39" i="6"/>
  <c r="D39" i="6" s="1"/>
  <c r="AZ16" i="6"/>
  <c r="B35" i="6"/>
  <c r="D35" i="6" s="1"/>
  <c r="AF16" i="6"/>
  <c r="C15" i="6"/>
  <c r="B30" i="6"/>
  <c r="D30" i="6" s="1"/>
  <c r="D27" i="6"/>
  <c r="B32" i="6"/>
  <c r="D32" i="6" s="1"/>
  <c r="B33" i="6"/>
  <c r="D33" i="6" s="1"/>
  <c r="G16" i="6" l="1"/>
  <c r="B40" i="6"/>
  <c r="D40"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F611FB-36FB-473D-87C4-D2F0F522FE4D}" keepAlive="1" name="Query - Casper" description="Verbinding maken met de query Casper in de werkmap." type="5" refreshedVersion="0" background="1" saveData="1">
    <dbPr connection="Provider=Microsoft.Mashup.OleDb.1;Data Source=$Workbook$;Location=Casper;Extended Properties=&quot;&quot;" command="SELECT * FROM [Casper]"/>
  </connection>
  <connection id="2" xr16:uid="{F22D4823-0A99-458B-8AC1-6166B6E4BF98}" keepAlive="1" name="Query - Dave" description="Verbinding maken met de query Dave in de werkmap." type="5" refreshedVersion="0" background="1" saveData="1">
    <dbPr connection="Provider=Microsoft.Mashup.OleDb.1;Data Source=$Workbook$;Location=Dave;Extended Properties=&quot;&quot;" command="SELECT * FROM [Dave]"/>
  </connection>
  <connection id="3" xr16:uid="{2139D568-A190-4BBD-9B4D-3765CA5D0598}" keepAlive="1" name="Query - Fons" description="Verbinding maken met de query Fons in de werkmap." type="5" refreshedVersion="0" background="1" saveData="1">
    <dbPr connection="Provider=Microsoft.Mashup.OleDb.1;Data Source=$Workbook$;Location=Fons;Extended Properties=&quot;&quot;" command="SELECT * FROM [Fons]"/>
  </connection>
  <connection id="4" xr16:uid="{7469C3B3-1BEC-4963-9B7B-01095085B672}" keepAlive="1" name="Query - Herman" description="Verbinding maken met de query Herman in de werkmap." type="5" refreshedVersion="0" background="1" saveData="1">
    <dbPr connection="Provider=Microsoft.Mashup.OleDb.1;Data Source=$Workbook$;Location=Herman;Extended Properties=&quot;&quot;" command="SELECT * FROM [Herman]"/>
  </connection>
  <connection id="5" xr16:uid="{54C7ABB2-8C82-4E0D-A366-320EBCC68BE1}" keepAlive="1" name="Query - Ivan" description="Verbinding maken met de query Ivan in de werkmap." type="5" refreshedVersion="0" background="1" saveData="1">
    <dbPr connection="Provider=Microsoft.Mashup.OleDb.1;Data Source=$Workbook$;Location=Ivan;Extended Properties=&quot;&quot;" command="SELECT * FROM [Ivan]"/>
  </connection>
  <connection id="6" xr16:uid="{28C2D2A8-DF91-4418-A7DC-94C0F4065843}" keepAlive="1" name="Query - Jan" description="Verbinding maken met de query Jan in de werkmap." type="5" refreshedVersion="0" background="1" saveData="1">
    <dbPr connection="Provider=Microsoft.Mashup.OleDb.1;Data Source=$Workbook$;Location=Jan;Extended Properties=&quot;&quot;" command="SELECT * FROM [Jan]"/>
  </connection>
  <connection id="7" xr16:uid="{7FE03F05-936F-4204-87BD-9837D27D79ED}" keepAlive="1" name="Query - Jonathan" description="Verbinding maken met de query Jonathan in de werkmap." type="5" refreshedVersion="0" background="1" saveData="1">
    <dbPr connection="Provider=Microsoft.Mashup.OleDb.1;Data Source=$Workbook$;Location=Jonathan;Extended Properties=&quot;&quot;" command="SELECT * FROM [Jonathan]"/>
  </connection>
  <connection id="8" xr16:uid="{C62EDB9B-AB11-4F7A-9272-4733CC1C9D9E}" keepAlive="1" name="Query - Kees" description="Verbinding maken met de query Kees in de werkmap." type="5" refreshedVersion="0" background="1" saveData="1">
    <dbPr connection="Provider=Microsoft.Mashup.OleDb.1;Data Source=$Workbook$;Location=Kees;Extended Properties=&quot;&quot;" command="SELECT * FROM [Kees]"/>
  </connection>
  <connection id="9" xr16:uid="{FEF4F5B7-B992-4440-941C-47F6A8675A59}" keepAlive="1" name="Query - Mascha" description="Verbinding maken met de query Mascha in de werkmap." type="5" refreshedVersion="0" background="1" saveData="1">
    <dbPr connection="Provider=Microsoft.Mashup.OleDb.1;Data Source=$Workbook$;Location=Mascha;Extended Properties=&quot;&quot;" command="SELECT * FROM [Mascha]"/>
  </connection>
  <connection id="10" xr16:uid="{63D695CB-10BA-4539-9C2F-EDAC19E775CF}" keepAlive="1" name="Query - Naftali" description="Verbinding maken met de query Naftali in de werkmap." type="5" refreshedVersion="0" background="1" saveData="1">
    <dbPr connection="Provider=Microsoft.Mashup.OleDb.1;Data Source=$Workbook$;Location=Naftali;Extended Properties=&quot;&quot;" command="SELECT * FROM [Naftali]"/>
  </connection>
  <connection id="11" xr16:uid="{4EBC6224-DA66-4A5B-B5CF-12EEAE8E0712}" keepAlive="1" name="Query - Ronald" description="Verbinding maken met de query Ronald in de werkmap." type="5" refreshedVersion="0" background="1" saveData="1">
    <dbPr connection="Provider=Microsoft.Mashup.OleDb.1;Data Source=$Workbook$;Location=Ronald;Extended Properties=&quot;&quot;" command="SELECT * FROM [Ronald]"/>
  </connection>
  <connection id="12" xr16:uid="{7BE9D56E-C992-4DBE-AF82-22EA30919317}" keepAlive="1" name="Query - Tim" description="Verbinding maken met de query Tim in de werkmap." type="5" refreshedVersion="0" background="1" saveData="1">
    <dbPr connection="Provider=Microsoft.Mashup.OleDb.1;Data Source=$Workbook$;Location=Tim;Extended Properties=&quot;&quot;" command="SELECT * FROM [Tim]"/>
  </connection>
  <connection id="13" xr16:uid="{C6CE650C-599B-40A2-A155-585A59DFBF0E}" keepAlive="1" name="Query - Yarne" description="Verbinding maken met de query Yarne in de werkmap." type="5" refreshedVersion="0" background="1" saveData="1">
    <dbPr connection="Provider=Microsoft.Mashup.OleDb.1;Data Source=$Workbook$;Location=Yarne;Extended Properties=&quot;&quot;" command="SELECT * FROM [Yarne]"/>
  </connection>
</connections>
</file>

<file path=xl/sharedStrings.xml><?xml version="1.0" encoding="utf-8"?>
<sst xmlns="http://schemas.openxmlformats.org/spreadsheetml/2006/main" count="1048" uniqueCount="337">
  <si>
    <t xml:space="preserve">Template: KPI dashboard leadershipteam </t>
  </si>
  <si>
    <t xml:space="preserve">Deze template vertrek vanuit een "algemeen" businessmodel.  Ieder bedrijf kan vanuit dit vertrekpunt personaliseren naar de eigen situatie. </t>
  </si>
  <si>
    <t>KLIK HIER VOOR EEN KORT INSTRUCTIEFILMPJE</t>
  </si>
  <si>
    <t xml:space="preserve">We zijn uitgegaan van de volgende zaken: </t>
  </si>
  <si>
    <t xml:space="preserve">* Deze template heeft de Function Accountability Chart (FACe) tool als uitgangspunt. Deze sheet en de FACe tool zouden dus overeen moeten komen! </t>
  </si>
  <si>
    <t xml:space="preserve">KLIK HIER VOOR MEER OVER DE FACe TOOL </t>
  </si>
  <si>
    <t xml:space="preserve">* Er zijn zo'n 6 tot 9 verschillende afdelingen/werkvelden. </t>
  </si>
  <si>
    <t xml:space="preserve">* Alle afdelingen rapporteren in het MT hun belangrijkste 3-4 wekelijkse kpi's in het centrale dashboard. </t>
  </si>
  <si>
    <t xml:space="preserve">* Bij het personaliseren kunnen er kolommen worden toegevoegd of verwijderd. Advies is om in de buurt te blijven van  3 KPI's. </t>
  </si>
  <si>
    <t xml:space="preserve">* Dit is het centrale KPI dashboard. De getoonde KPI's kunnen opgebouwd zijn uit meerdere KPI's die op het dashboard van de verschillende afdelingen uitgebreider staan. </t>
  </si>
  <si>
    <t>* Voor  de WEEKLY DASHBOARD zullen de KPI meer VOORSPELLEND ('leading') zijn (proces &amp; pructiviteit KPI), voor de MONTHLY DASHBOARD zullen de KPI meer RESULTAAT ('lagging') zijn (en meer groei en waarde KPI)</t>
  </si>
  <si>
    <t xml:space="preserve">* In een perfect scenario heeft iedere afdeling zowel groeiKPI's als ook proces, productiteit en waarde KPI's.  </t>
  </si>
  <si>
    <t xml:space="preserve">* Het KPI dashboard start met de critical numbers van het kwartaal eenhandvol  algemene business resultaten. Ook hier kun je aanvullen of verwijderen. </t>
  </si>
  <si>
    <t>* We gaan er van uit dat ieder kwartaal er doelstellingen op alle KPI"s worden bepaald. Deze kunnen worden ingegeven in de prognose dashboard ONDER de kpi monitor</t>
  </si>
  <si>
    <t>* Mits de doelen per kpi goed zijn ingegeven, geeft het KPI dashboard zelf aan of het resultaat van de week boven, op of onder prognose is. Door middel van de kleurcodering in de tabel hieronder weergegeven.</t>
  </si>
  <si>
    <t>* Waar de grens van de kleurcodering ligt kan aangepast worden in onderstaande tabel.</t>
  </si>
  <si>
    <t xml:space="preserve">* Er is ook een tabblad toegevoegd voor monthly metrics. Dit zijn veel vaker analyse getallen en of getallen die uit de financiele rapportage komen. Te bespreken op de monthly meeting. </t>
  </si>
  <si>
    <t xml:space="preserve">* Het weekly KPI dashboard moet in de weekly meeting van het MT voldoende zicht geven over het rijlen en zeilen van de hele operatie. In essentie. Denk aan een dashboard van een auto. Er staat niet alles op maar voldoende om een goed gevoel van controle te hebben. Als er iets aan de hand is ga je de motor verder uitlezen. </t>
  </si>
  <si>
    <t>&gt;&gt;&gt;</t>
  </si>
  <si>
    <t>Deze getallen aanpassen naar voorkeur</t>
  </si>
  <si>
    <t>&lt;&lt;&lt;</t>
  </si>
  <si>
    <t>(dan veranderd de kleur van de cellen in de dashboards mee)</t>
  </si>
  <si>
    <t>Donkergroen</t>
  </si>
  <si>
    <t>Meer dan x% van target</t>
  </si>
  <si>
    <t>Lichtgroen</t>
  </si>
  <si>
    <t>Geel</t>
  </si>
  <si>
    <t>Rood</t>
  </si>
  <si>
    <t>Minder dan x% van target</t>
  </si>
  <si>
    <t xml:space="preserve">* Wij noemen dit een 'level 3' dashboard. We helpen je graag om vanuit hier naar een Level 5 dashboard te komen. Dit kan met workshops van onze Menukaart, of door middel van de inzet van onze KPI specialisten in project vorm. </t>
  </si>
  <si>
    <t>* Dit dashboard is als template gemaakt voor klanten van ScaleUp Company, voor het gebruik door die klanten.</t>
  </si>
  <si>
    <t>Doelstelling per gewerkte dag</t>
  </si>
  <si>
    <t>Aantal nieuwe gemaakte afspraken (WAM)</t>
  </si>
  <si>
    <t>Aantal bezoeken vorige week (WAM)</t>
  </si>
  <si>
    <t>Aantal nieuwe klanten (WAM)</t>
  </si>
  <si>
    <t>Aantal afspraken gehad vorige week (RAM)</t>
  </si>
  <si>
    <t>Aantal nieuwe gemaakte afspraken (RAM)</t>
  </si>
  <si>
    <t>Aantal nieuwe deals (RAM)</t>
  </si>
  <si>
    <t>Year</t>
  </si>
  <si>
    <t>Month</t>
  </si>
  <si>
    <t>April</t>
  </si>
  <si>
    <t>P4</t>
  </si>
  <si>
    <t>P5</t>
  </si>
  <si>
    <t>P6</t>
  </si>
  <si>
    <t>P7</t>
  </si>
  <si>
    <t>P8</t>
  </si>
  <si>
    <t>P9</t>
  </si>
  <si>
    <t>P10</t>
  </si>
  <si>
    <t>P11</t>
  </si>
  <si>
    <t>P12</t>
  </si>
  <si>
    <t>P13</t>
  </si>
  <si>
    <t>Volledig jaar</t>
  </si>
  <si>
    <t>Week</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</si>
  <si>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</si>
  <si>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</si>
  <si>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</si>
  <si>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</si>
  <si>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</si>
  <si>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</si>
  <si>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</si>
  <si>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</si>
  <si>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</si>
  <si>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</si>
  <si>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</si>
  <si>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</si>
  <si>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</si>
  <si>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</si>
  <si>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</si>
  <si>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</si>
  <si>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</si>
  <si>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</si>
  <si>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</si>
  <si>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</si>
  <si>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</si>
  <si>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</si>
  <si>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</si>
  <si>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</si>
  <si>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</si>
  <si>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</si>
  <si>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</si>
  <si>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</si>
  <si>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</si>
  <si>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</si>
  <si>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</si>
  <si>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</si>
  <si>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</si>
  <si>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</si>
  <si>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</si>
  <si>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</si>
  <si>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</si>
  <si>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</si>
  <si>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</si>
  <si>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Doelstelling</t>
  </si>
  <si>
    <t>Realisatie</t>
  </si>
  <si>
    <t>*</t>
  </si>
  <si>
    <t>Critical numbers</t>
  </si>
  <si>
    <t>Bezettingsgraad</t>
  </si>
  <si>
    <t>Aantal ingezette dagen</t>
  </si>
  <si>
    <t>Aantal C.V.'s per Week (Jan)</t>
  </si>
  <si>
    <t>Cumulatief C.V.'s YTD</t>
  </si>
  <si>
    <t>Aantal contactmomenten opdrachtgever FSC per week</t>
  </si>
  <si>
    <t>Business numbers</t>
  </si>
  <si>
    <t>Verantwoordelijke</t>
  </si>
  <si>
    <t>Number of X</t>
  </si>
  <si>
    <t>[naam KPI owner]</t>
  </si>
  <si>
    <t>Profit per X</t>
  </si>
  <si>
    <t>Revenue</t>
  </si>
  <si>
    <t>Gross Margin</t>
  </si>
  <si>
    <t>Gamefication: The Hunter Games</t>
  </si>
  <si>
    <t>People</t>
  </si>
  <si>
    <t>Cijfer per week</t>
  </si>
  <si>
    <t>Marketing</t>
  </si>
  <si>
    <t>[Naam Acc. FACe]</t>
  </si>
  <si>
    <t>KPI (bij voorkeur voorspellend)</t>
  </si>
  <si>
    <t>Sales</t>
  </si>
  <si>
    <t>FSC Dave</t>
  </si>
  <si>
    <t>2 per dag</t>
  </si>
  <si>
    <t>8 per dag</t>
  </si>
  <si>
    <t>1 per dag</t>
  </si>
  <si>
    <t>0,33 per dag</t>
  </si>
  <si>
    <t>FSC Naftali</t>
  </si>
  <si>
    <t>0,33,per dag</t>
  </si>
  <si>
    <t>FSC Tim</t>
  </si>
  <si>
    <t>FSC Jan</t>
  </si>
  <si>
    <t>Finance</t>
  </si>
  <si>
    <t xml:space="preserve">Openstaand bedrag in € boven 5 dagen vervaltermijn </t>
  </si>
  <si>
    <t>HR</t>
  </si>
  <si>
    <t>Sharon</t>
  </si>
  <si>
    <t>Pieter</t>
  </si>
  <si>
    <t>Aantal dagen van eerste contact tot acceptatie</t>
  </si>
  <si>
    <t>Aantal LinkedIn posts per week</t>
  </si>
  <si>
    <t>DOELSTELLINGEN/TARGETS/PROGNOSE</t>
  </si>
  <si>
    <t xml:space="preserve">Aantal 2e gesprekken gepland -&gt; potentieel </t>
  </si>
  <si>
    <t>Operations</t>
  </si>
  <si>
    <t xml:space="preserve">Openstaand bedrag in € boven 14 dagen vervaltermijn </t>
  </si>
  <si>
    <t>tabel</t>
  </si>
  <si>
    <t>Periode</t>
  </si>
  <si>
    <t>Financial planning</t>
  </si>
  <si>
    <t>Omzet</t>
  </si>
  <si>
    <t>Bruto Marge</t>
  </si>
  <si>
    <t>YTD EBITDA</t>
  </si>
  <si>
    <t>EBITDA (maand)</t>
  </si>
  <si>
    <t xml:space="preserve">Cash </t>
  </si>
  <si>
    <t>Medewerkers tevredenheid per week</t>
  </si>
  <si>
    <t>Aantal posts LinkedIn</t>
  </si>
  <si>
    <t>Resultaat cijfer (mag lagging)</t>
  </si>
  <si>
    <t>Gemiddelde omzet per dag</t>
  </si>
  <si>
    <t>Aantal opdrachtgevers</t>
  </si>
  <si>
    <t xml:space="preserve">Facturable dagen </t>
  </si>
  <si>
    <t>VUL HIERONDER PER JAAR DE PROGNOSE IN</t>
  </si>
  <si>
    <t>Loyalty</t>
  </si>
  <si>
    <t>NPS</t>
  </si>
  <si>
    <t>eNPS</t>
  </si>
  <si>
    <t>Retention</t>
  </si>
  <si>
    <t>Employee hapiness score</t>
  </si>
  <si>
    <t>Recruitment NPS Score</t>
  </si>
  <si>
    <t xml:space="preserve">R&amp;D </t>
  </si>
  <si>
    <t>ROI cijfer?</t>
  </si>
  <si>
    <t>Kosten vs forecast?</t>
  </si>
  <si>
    <t>Business Unit A</t>
  </si>
  <si>
    <t>Business Unit B</t>
  </si>
  <si>
    <t>Bezetting% per periode</t>
  </si>
  <si>
    <t>Week 53</t>
  </si>
  <si>
    <t>Collega</t>
  </si>
  <si>
    <t>Aantal dagen 
inzetbaar</t>
  </si>
  <si>
    <t xml:space="preserve">Aantal dagen 
inzetbaar </t>
  </si>
  <si>
    <t>Feestdagen</t>
  </si>
  <si>
    <t>Verlof</t>
  </si>
  <si>
    <t>Verzuim</t>
  </si>
  <si>
    <t xml:space="preserve">Aantal dagen 
ingezet </t>
  </si>
  <si>
    <t>Ronald</t>
  </si>
  <si>
    <t>Sjoerd</t>
  </si>
  <si>
    <t>Tim</t>
  </si>
  <si>
    <t>Herman</t>
  </si>
  <si>
    <t>David</t>
  </si>
  <si>
    <t>Fons</t>
  </si>
  <si>
    <t>Erik</t>
  </si>
  <si>
    <t>Mascha</t>
  </si>
  <si>
    <t>Ivan</t>
  </si>
  <si>
    <t>Jonathan</t>
  </si>
  <si>
    <t>TOTAAL</t>
  </si>
  <si>
    <t>Bezettingsgraad per week</t>
  </si>
  <si>
    <r>
      <t xml:space="preserve">Totaal
 aantal dagen 
</t>
    </r>
    <r>
      <rPr>
        <b/>
        <sz val="11"/>
        <color rgb="FFFF0000"/>
        <rFont val="Arial"/>
        <family val="2"/>
        <scheme val="minor"/>
      </rPr>
      <t>inzetbaar</t>
    </r>
  </si>
  <si>
    <r>
      <t xml:space="preserve">Totaal
 aantal dagen 
</t>
    </r>
    <r>
      <rPr>
        <b/>
        <sz val="11"/>
        <color rgb="FFFF0000"/>
        <rFont val="Arial"/>
        <family val="2"/>
        <scheme val="minor"/>
      </rPr>
      <t>ingezet YTD</t>
    </r>
  </si>
  <si>
    <t>Bezettings- 
graad
 YTD</t>
  </si>
  <si>
    <t>Gefactureerde waarde per dag</t>
  </si>
  <si>
    <t>Factuurwaarde = wat er precies is gefactureerd in de periode (hier de academy en marketing van afhalen)</t>
  </si>
  <si>
    <t>Aantal dagen 
ingezet</t>
  </si>
  <si>
    <t>Factuur-
waarde</t>
  </si>
  <si>
    <t>Gem pd</t>
  </si>
  <si>
    <t>Periode 1</t>
  </si>
  <si>
    <t>Periode 2</t>
  </si>
  <si>
    <t>Periode 3</t>
  </si>
  <si>
    <t>Periode 4</t>
  </si>
  <si>
    <t>Periode 5</t>
  </si>
  <si>
    <t>Periode 6</t>
  </si>
  <si>
    <t>Periode 7</t>
  </si>
  <si>
    <t>Periode 8</t>
  </si>
  <si>
    <t>Periode 9</t>
  </si>
  <si>
    <t>Periode 10</t>
  </si>
  <si>
    <t>Periode 11</t>
  </si>
  <si>
    <t>Periode 12</t>
  </si>
  <si>
    <t>Periode 13</t>
  </si>
  <si>
    <t>Totaal</t>
  </si>
  <si>
    <t>Opdrachtgever</t>
  </si>
  <si>
    <t>WAM/RAM</t>
  </si>
  <si>
    <t>Realisatie doelstelling ja/nee</t>
  </si>
  <si>
    <t>Status relatie</t>
  </si>
  <si>
    <t>FSC</t>
  </si>
  <si>
    <t>Rentmeester</t>
  </si>
  <si>
    <t>Aantal contactmomenten week 16</t>
  </si>
  <si>
    <t>Aantal contactmomenten week 17</t>
  </si>
  <si>
    <t>Aantal contactmomenten week 18</t>
  </si>
  <si>
    <t>Aantal contactmomenten week 19</t>
  </si>
  <si>
    <t>Aantal contactmomenten week 20</t>
  </si>
  <si>
    <t>Aantal contactmomenten week 21</t>
  </si>
  <si>
    <t>Aantal contactmomenten week 22</t>
  </si>
  <si>
    <t>Aantal contactmomenten week 23</t>
  </si>
  <si>
    <t>Aantal contactmomenten week 24</t>
  </si>
  <si>
    <t>Aantal contactmomenten week 25</t>
  </si>
  <si>
    <t>Aantal contactmomenten week 26</t>
  </si>
  <si>
    <t>Aantal contactmomenten week 27</t>
  </si>
  <si>
    <t>Aantal contactmomenten week 28</t>
  </si>
  <si>
    <t>Aantal contactmomenten week 29</t>
  </si>
  <si>
    <t>Aantal contactmomenten week 30</t>
  </si>
  <si>
    <t>Aantal contactmomenten week 31</t>
  </si>
  <si>
    <t>Aantal contactmomenten week 32</t>
  </si>
  <si>
    <t>Aantal contactmomenten week 33</t>
  </si>
  <si>
    <t>Aantal contactmomenten week 34</t>
  </si>
  <si>
    <t>Aantal contactmomenten week 35</t>
  </si>
  <si>
    <t>Aantal contactmomenten week 36</t>
  </si>
  <si>
    <t>Aantal contactmomenten week 37</t>
  </si>
  <si>
    <t>Aantal contactmomenten week 38</t>
  </si>
  <si>
    <t>Eerst volgende actie / opmerking</t>
  </si>
  <si>
    <t>BenBits</t>
  </si>
  <si>
    <t>RAM</t>
  </si>
  <si>
    <t>ja</t>
  </si>
  <si>
    <t>goed</t>
  </si>
  <si>
    <t>Dave</t>
  </si>
  <si>
    <t>Dave gaat Milan bellen om aan te geven dat Fons tot na zijn vakantie niets gaat doen, graag winkelwerk.</t>
  </si>
  <si>
    <t>Dorsvlegel/Tante Fanny</t>
  </si>
  <si>
    <t>Goed</t>
  </si>
  <si>
    <t>Dave gaat bellen dat het voor Fons stopt. Eventueel kan ik het oppakken.</t>
  </si>
  <si>
    <t>Max Brew</t>
  </si>
  <si>
    <t>Gestopt.</t>
  </si>
  <si>
    <t>Roka</t>
  </si>
  <si>
    <t>?</t>
  </si>
  <si>
    <t>Gaat prima, goede evaluatie gehad. Nu moet alles vallen.</t>
  </si>
  <si>
    <t>Sore</t>
  </si>
  <si>
    <t>€ 2.050.000 omzet</t>
  </si>
  <si>
    <t>nee</t>
  </si>
  <si>
    <t>Herman moet nog erg wennen aan Pieter. Blijft het 3 dagen of 2?</t>
  </si>
  <si>
    <t>Windmolen kaas</t>
  </si>
  <si>
    <t>Index 110% afzet tov 2024</t>
  </si>
  <si>
    <t>Herman/Mascha</t>
  </si>
  <si>
    <t>Goede afspraak gehad met Rik en Erik. Mascha komt gewoon terug is nu het idee.</t>
  </si>
  <si>
    <t>Fishtales</t>
  </si>
  <si>
    <t>WAM</t>
  </si>
  <si>
    <t>Actie uitgewerkt voor week 35 en cijfers doorgegeven</t>
  </si>
  <si>
    <t>De Vlasschuur</t>
  </si>
  <si>
    <t>service</t>
  </si>
  <si>
    <t>20 nieuwe dagen</t>
  </si>
  <si>
    <t>Naftali</t>
  </si>
  <si>
    <t>Dave/Naftali</t>
  </si>
  <si>
    <t>Gaat prima</t>
  </si>
  <si>
    <t>Tapas Club</t>
  </si>
  <si>
    <t>1 nieuwe klant per 2 weken.</t>
  </si>
  <si>
    <t>Ja</t>
  </si>
  <si>
    <t>Jan</t>
  </si>
  <si>
    <t>Tim gaat eindklanten in België benaderen voor omzetgegevens, Bas weet dit en daarna afspraak inplannen.</t>
  </si>
  <si>
    <t>Van Roemburg</t>
  </si>
  <si>
    <t>Start week 9</t>
  </si>
  <si>
    <t xml:space="preserve">Markus en markus </t>
  </si>
  <si>
    <t>1 klant per dag</t>
  </si>
  <si>
    <t xml:space="preserve">Kees  </t>
  </si>
  <si>
    <t>Jan houdt contact met Simon over mogelijkheden opstart vanaf 2027</t>
  </si>
  <si>
    <t>AW Bouw</t>
  </si>
  <si>
    <t>afspraken maken / contacten leggen</t>
  </si>
  <si>
    <t>Copijn</t>
  </si>
  <si>
    <t>Grate Goods</t>
  </si>
  <si>
    <t>matig</t>
  </si>
  <si>
    <t>Het Bijenhuis</t>
  </si>
  <si>
    <t xml:space="preserve">Redelijkheid group </t>
  </si>
  <si>
    <t>bedrag (749) per klant</t>
  </si>
  <si>
    <t>NVT</t>
  </si>
  <si>
    <t>Spreadmaker/Ladessa</t>
  </si>
  <si>
    <t>Het gaat goed, kansen op een winkelrondgang bij AH</t>
  </si>
  <si>
    <t>Braai BBQ</t>
  </si>
  <si>
    <t>1 klant per dag 45</t>
  </si>
  <si>
    <t>Afspraak staan voor plan van aanpak 2027</t>
  </si>
  <si>
    <t xml:space="preserve">De maand </t>
  </si>
  <si>
    <t>Cider Ruwet</t>
  </si>
  <si>
    <t xml:space="preserve">WAM </t>
  </si>
  <si>
    <t>Frank bellen in week 36 ivm verlenging</t>
  </si>
  <si>
    <t>Guy de Winne</t>
  </si>
  <si>
    <t>20 nieuwe klanten</t>
  </si>
  <si>
    <t>De nieuwe whatsapp groep doet zijn werk</t>
  </si>
  <si>
    <t>Spelters kroketten</t>
  </si>
  <si>
    <t>1 klant per dag, 45</t>
  </si>
  <si>
    <t>Yarne</t>
  </si>
  <si>
    <t>Zouden alles betalen</t>
  </si>
  <si>
    <t xml:space="preserve">Vleeswaren Westra </t>
  </si>
  <si>
    <t>Gesproken ivm laatste probleem</t>
  </si>
  <si>
    <t>Renett België</t>
  </si>
  <si>
    <t>NL BE 300 nieuwe klanten</t>
  </si>
  <si>
    <t>Tim/Jonthan</t>
  </si>
  <si>
    <t>Tim/Naftali</t>
  </si>
  <si>
    <t xml:space="preserve">Samen een dag Frankrijk gedaan, </t>
  </si>
  <si>
    <t>Renett Nederland</t>
  </si>
  <si>
    <t>Kees/Sjoerd/Erik</t>
  </si>
  <si>
    <t>Omzet gestegen naar 4 paletten in totaal of 100.000 per maand</t>
  </si>
  <si>
    <t>Renett RAM</t>
  </si>
  <si>
    <t>SooLong</t>
  </si>
  <si>
    <t>Via mail contact gehad over hernieuwde samenwerking vanaf september</t>
  </si>
  <si>
    <t>Veel Liefs</t>
  </si>
  <si>
    <t>Ginger Club</t>
  </si>
  <si>
    <t>JA</t>
  </si>
  <si>
    <t>Telkens een display verkocht</t>
  </si>
  <si>
    <t>De Rooij Groothandel</t>
  </si>
  <si>
    <t>1 klant per dag x 3 dagen per week = 3 klanten per week</t>
  </si>
  <si>
    <t>Veel moeten regelen in opstart fase omdat ze voor beide merken nog niets hebben staan qua prijslijsten en presentaties etc.</t>
  </si>
  <si>
    <t>Status opdrachtgever</t>
  </si>
  <si>
    <t>realisatie doelstelling</t>
  </si>
  <si>
    <t>Sturen op</t>
  </si>
  <si>
    <t>Matig</t>
  </si>
  <si>
    <t>Plan van aanpak</t>
  </si>
  <si>
    <t>Slecht</t>
  </si>
  <si>
    <t>Planning</t>
  </si>
  <si>
    <t>Rapportage</t>
  </si>
  <si>
    <t>POP</t>
  </si>
  <si>
    <t>Mutaties opdrachtgevers</t>
  </si>
  <si>
    <t xml:space="preserve">Maas Kip </t>
  </si>
  <si>
    <t>Fando</t>
  </si>
  <si>
    <t>Lolly's</t>
  </si>
  <si>
    <t>Wijnhndel Dave</t>
  </si>
  <si>
    <t>Kaazanova</t>
  </si>
  <si>
    <t>Ganda</t>
  </si>
  <si>
    <t>Mvega Maaltijden via Tim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</si>
</sst>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43" formatCode="_ * #,##0.00_ ;_ * \-#,##0.00_ ;_ * &quot;-&quot;??_ ;_ @_ "/>
    <numFmt numFmtId="164" formatCode="_ * #,##0_ ;_ * \-#,##0_ ;_ * &quot;-&quot;??_ ;_ @_ "/>
    <numFmt numFmtId="165" formatCode="0.0%"/>
    <numFmt numFmtId="166" formatCode="#,##0.0"/>
  </numFmts>
  <fonts count="47">
    <font>
      <sz val="10"/>
      <color rgb="FF000000"/>
      <name val="Arial"/>
      <scheme val="minor"/>
    </font>
    <font>
      <sz val="11"/>
      <color theme="1"/>
      <name val="Arial"/>
      <family val="2"/>
      <scheme val="minor"/>
    </font>
    <font>
      <b/>
      <sz val="10"/>
      <color theme="1"/>
      <name val="Arial"/>
      <family val="2"/>
      <scheme val="minor"/>
    </font>
    <font>
      <b/>
      <sz val="10"/>
      <color theme="1"/>
      <name val="Lato"/>
    </font>
    <font>
      <sz val="10"/>
      <color theme="1"/>
      <name val="Lato"/>
    </font>
    <font>
      <sz val="10"/>
      <color theme="1"/>
      <name val="Arial"/>
      <family val="2"/>
      <scheme val="minor"/>
    </font>
    <font>
      <sz val="10"/>
      <color rgb="FFCCCCCC"/>
      <name val="Arial"/>
      <family val="2"/>
      <scheme val="minor"/>
    </font>
    <font>
      <sz val="10"/>
      <color rgb="FFB7B7B7"/>
      <name val="Arial"/>
      <family val="2"/>
      <scheme val="minor"/>
    </font>
    <font>
      <sz val="10"/>
      <color rgb="FF000000"/>
      <name val="Arial"/>
      <family val="2"/>
      <scheme val="minor"/>
    </font>
    <font>
      <b/>
      <sz val="18"/>
      <color rgb="FF000000"/>
      <name val="Arial"/>
      <family val="2"/>
      <scheme val="minor"/>
    </font>
    <font>
      <sz val="16"/>
      <color rgb="FF000000"/>
      <name val="Arial"/>
      <family val="2"/>
      <scheme val="minor"/>
    </font>
    <font>
      <b/>
      <sz val="48"/>
      <name val="Arial"/>
      <family val="2"/>
      <scheme val="minor"/>
    </font>
    <font>
      <b/>
      <sz val="12"/>
      <color rgb="FF000000"/>
      <name val="Arial"/>
      <family val="2"/>
      <scheme val="minor"/>
    </font>
    <font>
      <b/>
      <sz val="28"/>
      <name val="Arial"/>
      <family val="2"/>
      <scheme val="minor"/>
    </font>
    <font>
      <sz val="10"/>
      <color rgb="FF000000"/>
      <name val="Arial"/>
      <family val="2"/>
      <scheme val="minor"/>
    </font>
    <font>
      <sz val="12"/>
      <color theme="0"/>
      <name val="Arial"/>
      <family val="2"/>
      <scheme val="minor"/>
    </font>
    <font>
      <b/>
      <sz val="16"/>
      <color rgb="FF000000"/>
      <name val="Arial"/>
      <family val="2"/>
      <scheme val="minor"/>
    </font>
    <font>
      <sz val="12"/>
      <color rgb="FF000000"/>
      <name val="Arial"/>
      <family val="2"/>
      <scheme val="minor"/>
    </font>
    <font>
      <b/>
      <sz val="12"/>
      <color theme="4"/>
      <name val="Arial"/>
      <family val="2"/>
      <scheme val="minor"/>
    </font>
    <font>
      <sz val="12"/>
      <color theme="7" tint="-0.499984740745262"/>
      <name val="Arial"/>
      <family val="2"/>
      <scheme val="minor"/>
    </font>
    <font>
      <sz val="12"/>
      <color theme="6" tint="-0.499984740745262"/>
      <name val="Arial"/>
      <family val="2"/>
      <scheme val="minor"/>
    </font>
    <font>
      <sz val="12"/>
      <color theme="5" tint="-0.249977111117893"/>
      <name val="Arial"/>
      <family val="2"/>
      <scheme val="minor"/>
    </font>
    <font>
      <u/>
      <sz val="10"/>
      <color theme="10"/>
      <name val="Arial"/>
      <family val="2"/>
      <scheme val="minor"/>
    </font>
    <font>
      <b/>
      <u/>
      <sz val="14"/>
      <color theme="10"/>
      <name val="Arial"/>
      <family val="2"/>
      <scheme val="minor"/>
    </font>
    <font>
      <b/>
      <sz val="10"/>
      <color theme="0" tint="-0.499984740745262"/>
      <name val="Verdana"/>
      <family val="2"/>
    </font>
    <font>
      <sz val="10"/>
      <color theme="0" tint="-0.499984740745262"/>
      <name val="Verdana"/>
      <family val="2"/>
    </font>
    <font>
      <b/>
      <sz val="10"/>
      <color theme="1"/>
      <name val="Verdana"/>
      <family val="2"/>
    </font>
    <font>
      <sz val="10"/>
      <color rgb="FF000000"/>
      <name val="Verdana"/>
      <family val="2"/>
    </font>
    <font>
      <sz val="10"/>
      <color theme="1"/>
      <name val="Verdana"/>
      <family val="2"/>
    </font>
    <font>
      <b/>
      <sz val="12"/>
      <color theme="1"/>
      <name val="Verdana"/>
      <family val="2"/>
    </font>
    <font>
      <sz val="8"/>
      <name val="Arial"/>
      <family val="2"/>
      <scheme val="minor"/>
    </font>
    <font>
      <b/>
      <sz val="48"/>
      <name val="Verdana"/>
      <family val="2"/>
    </font>
    <font>
      <b/>
      <sz val="10"/>
      <name val="Verdana"/>
      <family val="2"/>
    </font>
    <font>
      <sz val="11"/>
      <color rgb="FFFF0000"/>
      <name val="Arial"/>
      <family val="2"/>
      <scheme val="minor"/>
    </font>
    <font>
      <b/>
      <sz val="11"/>
      <color theme="1"/>
      <name val="Arial"/>
      <family val="2"/>
      <scheme val="minor"/>
    </font>
    <font>
      <b/>
      <sz val="11"/>
      <color rgb="FF000000"/>
      <name val="Arial"/>
      <family val="2"/>
      <scheme val="minor"/>
    </font>
    <font>
      <sz val="11"/>
      <color rgb="FF000000"/>
      <name val="Arial"/>
      <family val="2"/>
      <scheme val="minor"/>
    </font>
    <font>
      <b/>
      <sz val="12"/>
      <color theme="1"/>
      <name val="Arial"/>
      <family val="2"/>
      <scheme val="minor"/>
    </font>
    <font>
      <b/>
      <sz val="16"/>
      <color theme="1"/>
      <name val="Arial"/>
      <family val="2"/>
      <scheme val="minor"/>
    </font>
    <font>
      <i/>
      <sz val="10"/>
      <color theme="1"/>
      <name val="Arial"/>
      <family val="2"/>
      <scheme val="minor"/>
    </font>
    <font>
      <b/>
      <sz val="9"/>
      <color theme="1"/>
      <name val="Arial"/>
      <family val="2"/>
      <scheme val="minor"/>
    </font>
    <font>
      <sz val="9"/>
      <color theme="1"/>
      <name val="Arial"/>
      <family val="2"/>
      <scheme val="minor"/>
    </font>
    <font>
      <b/>
      <sz val="11"/>
      <color rgb="FFFF0000"/>
      <name val="Arial"/>
      <family val="2"/>
      <scheme val="minor"/>
    </font>
    <font>
      <b/>
      <u/>
      <sz val="12"/>
      <color theme="1"/>
      <name val="Arial"/>
      <family val="2"/>
      <scheme val="minor"/>
    </font>
    <font>
      <sz val="8"/>
      <name val="Arial"/>
      <family val="2"/>
      <scheme val="minor"/>
    </font>
    <font>
      <sz val="10"/>
      <name val="Verdana"/>
      <family val="2"/>
    </font>
    <font>
      <sz val="10"/>
      <color rgb="FFFF0000"/>
      <name val="Verdana"/>
      <family val="2"/>
    </font>
  </fonts>
  <fills count="16">
    <fill>
      <patternFill patternType="none"/>
    </fill>
    <fill>
      <patternFill patternType="gray125"/>
    </fill>
    <fill>
      <patternFill patternType="solid">
        <fgColor theme="7"/>
        <bgColor theme="7"/>
      </patternFill>
    </fill>
    <fill>
      <patternFill patternType="solid">
        <fgColor theme="0"/>
        <bgColor indexed="64"/>
      </patternFill>
    </fill>
    <fill>
      <patternFill patternType="solid">
        <fgColor rgb="FFFFFF00"/>
        <bgColor theme="7"/>
      </patternFill>
    </fill>
    <fill>
      <patternFill patternType="solid">
        <fgColor rgb="FFFFC000"/>
        <bgColor indexed="64"/>
      </patternFill>
    </fill>
    <fill>
      <patternFill patternType="solid">
        <fgColor rgb="FFFFC000"/>
        <bgColor theme="7"/>
      </patternFill>
    </fill>
    <fill>
      <patternFill patternType="solid">
        <fgColor theme="7" tint="-0.249977111117893"/>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7"/>
        <bgColor indexed="64"/>
      </patternFill>
    </fill>
    <fill>
      <patternFill patternType="solid">
        <fgColor rgb="FF00B0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s>
  <borders count="27">
    <border>
      <left/>
      <right/>
      <top/>
      <bottom/>
      <diagonal/>
    </border>
    <border>
      <left style="medium">
        <color theme="7" tint="-0.499984740745262"/>
      </left>
      <right/>
      <top/>
      <bottom/>
      <diagonal/>
    </border>
    <border>
      <left style="thin">
        <color theme="0" tint="-0.14999847407452621"/>
      </left>
      <right/>
      <top style="thin">
        <color theme="0" tint="-0.14999847407452621"/>
      </top>
      <bottom style="thin">
        <color theme="0" tint="-0.149998474074526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14999847407452621"/>
      </left>
      <right/>
      <top style="thin">
        <color theme="0" tint="-0.149998474074526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4">
    <xf numFmtId="0" fontId="0" fillId="0" borderId="0"/>
    <xf numFmtId="9" fontId="8" fillId="0" borderId="0" applyFont="0" applyFill="0" applyBorder="0" applyAlignment="0" applyProtection="0"/>
    <xf numFmtId="43" fontId="14" fillId="0" borderId="0" applyFont="0" applyFill="0" applyBorder="0" applyAlignment="0" applyProtection="0"/>
    <xf numFmtId="0" fontId="22" fillId="0" borderId="0" applyNumberFormat="0" applyFill="0" applyBorder="0" applyAlignment="0" applyProtection="0"/>
  </cellStyleXfs>
  <cellXfs count="215">
    <xf numFmtId="0" fontId="0" fillId="0" borderId="0" xfId="0"/>
    <xf numFmtId="0" fontId="5" fillId="0" borderId="0" xfId="0" applyFont="1" applyAlignment="1">
      <alignment vertical="center"/>
    </xf>
    <xf numFmtId="0" fontId="2" fillId="0" borderId="0" xfId="0" applyFont="1" applyAlignment="1">
      <alignment vertical="center"/>
    </xf>
    <xf numFmtId="3" fontId="4" fillId="0" borderId="0" xfId="0" applyNumberFormat="1" applyFont="1" applyAlignment="1">
      <alignment vertical="center"/>
    </xf>
    <xf numFmtId="4" fontId="4" fillId="0" borderId="0" xfId="0" applyNumberFormat="1" applyFont="1" applyAlignment="1">
      <alignment vertical="center"/>
    </xf>
    <xf numFmtId="0" fontId="4" fillId="0" borderId="0" xfId="0" applyFont="1" applyAlignment="1">
      <alignment vertical="center"/>
    </xf>
    <xf numFmtId="0" fontId="3" fillId="2" borderId="0" xfId="0" applyFont="1" applyFill="1" applyAlignment="1" applyProtection="1">
      <alignment vertical="center"/>
      <protection locked="0"/>
    </xf>
    <xf numFmtId="0" fontId="4" fillId="0" borderId="0" xfId="0" applyFont="1" applyAlignment="1" applyProtection="1">
      <alignment horizontal="left" vertical="center"/>
      <protection locked="0"/>
    </xf>
    <xf numFmtId="0" fontId="5" fillId="0" borderId="0" xfId="0" applyFont="1" applyAlignment="1" applyProtection="1">
      <alignment horizontal="left" vertical="center"/>
      <protection locked="0"/>
    </xf>
    <xf numFmtId="0" fontId="6" fillId="0" borderId="0" xfId="0" applyFont="1" applyAlignment="1">
      <alignment horizontal="center"/>
    </xf>
    <xf numFmtId="0" fontId="7" fillId="0" borderId="0" xfId="0" applyFont="1" applyAlignment="1">
      <alignment horizontal="center"/>
    </xf>
    <xf numFmtId="0" fontId="2" fillId="5" borderId="0" xfId="0" applyFont="1" applyFill="1" applyAlignment="1" applyProtection="1">
      <alignment vertical="center"/>
      <protection locked="0"/>
    </xf>
    <xf numFmtId="0" fontId="3" fillId="6" borderId="0" xfId="0" applyFont="1" applyFill="1" applyAlignment="1" applyProtection="1">
      <alignment vertical="center"/>
      <protection locked="0"/>
    </xf>
    <xf numFmtId="0" fontId="8" fillId="3" borderId="0" xfId="0" applyFont="1" applyFill="1"/>
    <xf numFmtId="0" fontId="0" fillId="3" borderId="0" xfId="0" applyFill="1"/>
    <xf numFmtId="0" fontId="0" fillId="3" borderId="0" xfId="0" applyFill="1" applyAlignment="1">
      <alignment vertical="center"/>
    </xf>
    <xf numFmtId="3" fontId="4" fillId="0" borderId="2" xfId="0" applyNumberFormat="1" applyFont="1" applyBorder="1" applyAlignment="1" applyProtection="1">
      <alignment vertical="center"/>
      <protection locked="0"/>
    </xf>
    <xf numFmtId="0" fontId="8" fillId="3" borderId="1" xfId="0" applyFont="1" applyFill="1" applyBorder="1"/>
    <xf numFmtId="0" fontId="11" fillId="5" borderId="0" xfId="0" applyFont="1" applyFill="1" applyAlignment="1">
      <alignment vertical="center" textRotation="255"/>
    </xf>
    <xf numFmtId="0" fontId="13" fillId="5" borderId="0" xfId="0" applyFont="1" applyFill="1"/>
    <xf numFmtId="164" fontId="5" fillId="0" borderId="0" xfId="2" applyNumberFormat="1" applyFont="1" applyAlignment="1">
      <alignment horizontal="center"/>
    </xf>
    <xf numFmtId="0" fontId="9" fillId="3" borderId="0" xfId="0" applyFont="1" applyFill="1"/>
    <xf numFmtId="0" fontId="10" fillId="3" borderId="0" xfId="0" applyFont="1" applyFill="1"/>
    <xf numFmtId="0" fontId="12" fillId="3" borderId="0" xfId="0" applyFont="1" applyFill="1" applyAlignment="1">
      <alignment horizontal="right" vertical="center"/>
    </xf>
    <xf numFmtId="0" fontId="16" fillId="3" borderId="0" xfId="0" applyFont="1" applyFill="1"/>
    <xf numFmtId="0" fontId="17" fillId="3" borderId="0" xfId="0" applyFont="1" applyFill="1"/>
    <xf numFmtId="0" fontId="18" fillId="3" borderId="0" xfId="0" applyFont="1" applyFill="1" applyAlignment="1">
      <alignment horizontal="center" wrapText="1"/>
    </xf>
    <xf numFmtId="0" fontId="17" fillId="3" borderId="0" xfId="0" applyFont="1" applyFill="1" applyAlignment="1">
      <alignment vertical="center"/>
    </xf>
    <xf numFmtId="0" fontId="15" fillId="7" borderId="0" xfId="0" applyFont="1" applyFill="1" applyAlignment="1">
      <alignment vertical="center"/>
    </xf>
    <xf numFmtId="9" fontId="15" fillId="7" borderId="0" xfId="0" applyNumberFormat="1" applyFont="1" applyFill="1" applyAlignment="1">
      <alignment horizontal="center" vertical="center"/>
    </xf>
    <xf numFmtId="0" fontId="19" fillId="8" borderId="0" xfId="0" applyFont="1" applyFill="1" applyAlignment="1">
      <alignment vertical="center"/>
    </xf>
    <xf numFmtId="9" fontId="19" fillId="8" borderId="0" xfId="0" applyNumberFormat="1" applyFont="1" applyFill="1" applyAlignment="1">
      <alignment horizontal="center" vertical="center"/>
    </xf>
    <xf numFmtId="0" fontId="20" fillId="9" borderId="0" xfId="0" applyFont="1" applyFill="1" applyAlignment="1">
      <alignment vertical="center"/>
    </xf>
    <xf numFmtId="9" fontId="20" fillId="9" borderId="0" xfId="0" applyNumberFormat="1" applyFont="1" applyFill="1" applyAlignment="1">
      <alignment horizontal="center" vertical="center"/>
    </xf>
    <xf numFmtId="0" fontId="21" fillId="10" borderId="0" xfId="0" applyFont="1" applyFill="1" applyAlignment="1">
      <alignment vertical="center"/>
    </xf>
    <xf numFmtId="9" fontId="21" fillId="10" borderId="0" xfId="0" applyNumberFormat="1" applyFont="1" applyFill="1" applyAlignment="1">
      <alignment horizontal="center" vertical="center"/>
    </xf>
    <xf numFmtId="3" fontId="5" fillId="0" borderId="3" xfId="0" applyNumberFormat="1" applyFont="1" applyBorder="1" applyAlignment="1">
      <alignment horizontal="center"/>
    </xf>
    <xf numFmtId="0" fontId="11" fillId="5" borderId="1" xfId="0" applyFont="1" applyFill="1" applyBorder="1" applyAlignment="1">
      <alignment vertical="center" textRotation="255"/>
    </xf>
    <xf numFmtId="0" fontId="5" fillId="0" borderId="3" xfId="0" applyFont="1" applyBorder="1" applyAlignment="1">
      <alignment horizontal="center"/>
    </xf>
    <xf numFmtId="10" fontId="4" fillId="11" borderId="0" xfId="0" applyNumberFormat="1" applyFont="1" applyFill="1" applyAlignment="1">
      <alignment vertical="center"/>
    </xf>
    <xf numFmtId="10" fontId="4" fillId="5" borderId="0" xfId="0" applyNumberFormat="1" applyFont="1" applyFill="1" applyAlignment="1">
      <alignment vertical="center"/>
    </xf>
    <xf numFmtId="164" fontId="0" fillId="0" borderId="3" xfId="2" applyNumberFormat="1" applyFont="1" applyBorder="1" applyAlignment="1">
      <alignment horizontal="center"/>
    </xf>
    <xf numFmtId="164" fontId="0" fillId="0" borderId="0" xfId="2" applyNumberFormat="1" applyFont="1" applyAlignment="1">
      <alignment horizontal="center"/>
    </xf>
    <xf numFmtId="164" fontId="0" fillId="3" borderId="0" xfId="2" applyNumberFormat="1" applyFont="1" applyFill="1" applyBorder="1" applyAlignment="1"/>
    <xf numFmtId="3" fontId="4" fillId="0" borderId="5" xfId="0" applyNumberFormat="1" applyFont="1" applyBorder="1" applyAlignment="1" applyProtection="1">
      <alignment vertical="center"/>
      <protection locked="0"/>
    </xf>
    <xf numFmtId="164" fontId="0" fillId="3" borderId="0" xfId="2" applyNumberFormat="1" applyFont="1" applyFill="1" applyBorder="1" applyAlignment="1">
      <alignment horizontal="center"/>
    </xf>
    <xf numFmtId="0" fontId="0" fillId="3" borderId="0" xfId="0" applyFill="1" applyAlignment="1">
      <alignment horizontal="center"/>
    </xf>
    <xf numFmtId="0" fontId="11" fillId="3" borderId="1" xfId="0" applyFont="1" applyFill="1" applyBorder="1" applyAlignment="1">
      <alignment vertical="center" textRotation="255"/>
    </xf>
    <xf numFmtId="0" fontId="11" fillId="3" borderId="0" xfId="0" applyFont="1" applyFill="1" applyAlignment="1">
      <alignment vertical="center" textRotation="255"/>
    </xf>
    <xf numFmtId="0" fontId="5" fillId="0" borderId="4" xfId="0" applyFont="1" applyBorder="1" applyAlignment="1">
      <alignment horizontal="center"/>
    </xf>
    <xf numFmtId="0" fontId="0" fillId="0" borderId="0" xfId="0" applyAlignment="1">
      <alignment vertical="center"/>
    </xf>
    <xf numFmtId="0" fontId="8" fillId="0" borderId="0" xfId="0" applyFont="1"/>
    <xf numFmtId="0" fontId="0" fillId="0" borderId="0" xfId="0" applyAlignment="1">
      <alignment horizontal="center"/>
    </xf>
    <xf numFmtId="0" fontId="23" fillId="3" borderId="0" xfId="3" applyFont="1" applyFill="1"/>
    <xf numFmtId="0" fontId="12" fillId="3" borderId="0" xfId="0" applyFont="1" applyFill="1" applyAlignment="1">
      <alignment vertical="center"/>
    </xf>
    <xf numFmtId="0" fontId="25" fillId="3" borderId="0" xfId="0" applyFont="1" applyFill="1"/>
    <xf numFmtId="0" fontId="27" fillId="3" borderId="0" xfId="0" applyFont="1" applyFill="1"/>
    <xf numFmtId="0" fontId="27" fillId="0" borderId="0" xfId="0" applyFont="1"/>
    <xf numFmtId="0" fontId="24" fillId="0" borderId="6" xfId="0" applyFont="1" applyBorder="1" applyAlignment="1">
      <alignment horizontal="center"/>
    </xf>
    <xf numFmtId="0" fontId="24" fillId="3" borderId="6" xfId="0" applyFont="1" applyFill="1" applyBorder="1"/>
    <xf numFmtId="9" fontId="27" fillId="3" borderId="0" xfId="1" applyFont="1" applyFill="1"/>
    <xf numFmtId="0" fontId="28" fillId="0" borderId="6" xfId="0" applyFont="1" applyBorder="1" applyAlignment="1" applyProtection="1">
      <alignment vertical="center"/>
      <protection locked="0"/>
    </xf>
    <xf numFmtId="0" fontId="27" fillId="3" borderId="6" xfId="0" applyFont="1" applyFill="1" applyBorder="1" applyAlignment="1">
      <alignment vertical="center"/>
    </xf>
    <xf numFmtId="0" fontId="27" fillId="5" borderId="6" xfId="0" applyFont="1" applyFill="1" applyBorder="1"/>
    <xf numFmtId="0" fontId="27" fillId="5" borderId="6" xfId="0" applyFont="1" applyFill="1" applyBorder="1" applyAlignment="1">
      <alignment vertical="center"/>
    </xf>
    <xf numFmtId="0" fontId="26" fillId="0" borderId="6" xfId="0" applyFont="1" applyBorder="1" applyAlignment="1">
      <alignment horizontal="center"/>
    </xf>
    <xf numFmtId="0" fontId="27" fillId="3" borderId="6" xfId="0" applyFont="1" applyFill="1" applyBorder="1"/>
    <xf numFmtId="3" fontId="28" fillId="3" borderId="6" xfId="0" applyNumberFormat="1" applyFont="1" applyFill="1" applyBorder="1" applyAlignment="1">
      <alignment horizontal="center"/>
    </xf>
    <xf numFmtId="165" fontId="28" fillId="3" borderId="6" xfId="1" applyNumberFormat="1" applyFont="1" applyFill="1" applyBorder="1" applyAlignment="1">
      <alignment horizontal="center"/>
    </xf>
    <xf numFmtId="9" fontId="28" fillId="3" borderId="6" xfId="1" applyFont="1" applyFill="1" applyBorder="1" applyAlignment="1">
      <alignment horizontal="center"/>
    </xf>
    <xf numFmtId="9" fontId="27" fillId="3" borderId="6" xfId="1" applyFont="1" applyFill="1" applyBorder="1"/>
    <xf numFmtId="3" fontId="28" fillId="0" borderId="6" xfId="0" applyNumberFormat="1" applyFont="1" applyBorder="1" applyAlignment="1">
      <alignment horizontal="center"/>
    </xf>
    <xf numFmtId="10" fontId="28" fillId="3" borderId="6" xfId="0" applyNumberFormat="1" applyFont="1" applyFill="1" applyBorder="1"/>
    <xf numFmtId="3" fontId="28" fillId="3" borderId="6" xfId="0" applyNumberFormat="1" applyFont="1" applyFill="1" applyBorder="1"/>
    <xf numFmtId="0" fontId="28" fillId="3" borderId="6" xfId="0" applyFont="1" applyFill="1" applyBorder="1"/>
    <xf numFmtId="0" fontId="32" fillId="5" borderId="6" xfId="0" applyFont="1" applyFill="1" applyBorder="1" applyAlignment="1">
      <alignment horizontal="left" vertical="top" textRotation="255" wrapText="1"/>
    </xf>
    <xf numFmtId="0" fontId="31" fillId="5" borderId="6" xfId="0" applyFont="1" applyFill="1" applyBorder="1" applyAlignment="1">
      <alignment vertical="center" textRotation="255"/>
    </xf>
    <xf numFmtId="9" fontId="28" fillId="0" borderId="6" xfId="1" applyFont="1" applyBorder="1" applyAlignment="1">
      <alignment horizontal="center"/>
    </xf>
    <xf numFmtId="4" fontId="28" fillId="0" borderId="6" xfId="0" applyNumberFormat="1" applyFont="1" applyBorder="1" applyAlignment="1">
      <alignment horizontal="center"/>
    </xf>
    <xf numFmtId="9" fontId="28" fillId="0" borderId="6" xfId="1" applyFont="1" applyFill="1" applyBorder="1" applyAlignment="1">
      <alignment horizontal="center"/>
    </xf>
    <xf numFmtId="164" fontId="28" fillId="0" borderId="6" xfId="2" applyNumberFormat="1" applyFont="1" applyBorder="1" applyAlignment="1">
      <alignment horizontal="center"/>
    </xf>
    <xf numFmtId="164" fontId="27" fillId="3" borderId="6" xfId="2" applyNumberFormat="1" applyFont="1" applyFill="1" applyBorder="1"/>
    <xf numFmtId="164" fontId="28" fillId="3" borderId="6" xfId="2" applyNumberFormat="1" applyFont="1" applyFill="1" applyBorder="1" applyAlignment="1">
      <alignment horizontal="center"/>
    </xf>
    <xf numFmtId="164" fontId="28" fillId="3" borderId="6" xfId="2" applyNumberFormat="1" applyFont="1" applyFill="1" applyBorder="1"/>
    <xf numFmtId="164" fontId="28" fillId="0" borderId="6" xfId="2" applyNumberFormat="1" applyFont="1" applyBorder="1"/>
    <xf numFmtId="0" fontId="27" fillId="0" borderId="6" xfId="0" applyFont="1" applyBorder="1"/>
    <xf numFmtId="0" fontId="32" fillId="3" borderId="6" xfId="0" applyFont="1" applyFill="1" applyBorder="1" applyAlignment="1">
      <alignment horizontal="left" vertical="center"/>
    </xf>
    <xf numFmtId="0" fontId="26" fillId="0" borderId="6" xfId="0" applyFont="1" applyBorder="1" applyAlignment="1">
      <alignment vertical="center"/>
    </xf>
    <xf numFmtId="0" fontId="26" fillId="4" borderId="6" xfId="0" applyFont="1" applyFill="1" applyBorder="1" applyAlignment="1">
      <alignment vertical="center"/>
    </xf>
    <xf numFmtId="9" fontId="28" fillId="0" borderId="6" xfId="1" applyFont="1" applyBorder="1" applyAlignment="1" applyProtection="1">
      <alignment vertical="center"/>
      <protection locked="0"/>
    </xf>
    <xf numFmtId="3" fontId="28" fillId="0" borderId="6" xfId="0" applyNumberFormat="1" applyFont="1" applyBorder="1" applyAlignment="1" applyProtection="1">
      <alignment vertical="center"/>
      <protection locked="0"/>
    </xf>
    <xf numFmtId="0" fontId="26" fillId="4" borderId="6" xfId="0" applyFont="1" applyFill="1" applyBorder="1" applyAlignment="1" applyProtection="1">
      <alignment vertical="center"/>
      <protection locked="0"/>
    </xf>
    <xf numFmtId="4" fontId="28" fillId="0" borderId="6" xfId="0" applyNumberFormat="1" applyFont="1" applyBorder="1" applyAlignment="1" applyProtection="1">
      <alignment vertical="center"/>
      <protection locked="0"/>
    </xf>
    <xf numFmtId="0" fontId="26" fillId="2" borderId="6" xfId="0" applyFont="1" applyFill="1" applyBorder="1" applyAlignment="1" applyProtection="1">
      <alignment vertical="center"/>
      <protection locked="0"/>
    </xf>
    <xf numFmtId="0" fontId="28" fillId="3" borderId="6" xfId="0" applyFont="1" applyFill="1" applyBorder="1" applyAlignment="1" applyProtection="1">
      <alignment vertical="center"/>
      <protection locked="0"/>
    </xf>
    <xf numFmtId="0" fontId="29" fillId="5" borderId="6" xfId="0" applyFont="1" applyFill="1" applyBorder="1" applyAlignment="1" applyProtection="1">
      <alignment vertical="center"/>
      <protection locked="0"/>
    </xf>
    <xf numFmtId="0" fontId="26" fillId="5" borderId="6" xfId="0" applyFont="1" applyFill="1" applyBorder="1" applyAlignment="1" applyProtection="1">
      <alignment vertical="center"/>
      <protection locked="0"/>
    </xf>
    <xf numFmtId="0" fontId="26" fillId="6" borderId="6" xfId="0" applyFont="1" applyFill="1" applyBorder="1" applyAlignment="1" applyProtection="1">
      <alignment vertical="center"/>
      <protection locked="0"/>
    </xf>
    <xf numFmtId="0" fontId="27" fillId="0" borderId="6" xfId="0" applyFont="1" applyBorder="1" applyAlignment="1">
      <alignment vertical="center"/>
    </xf>
    <xf numFmtId="3" fontId="28" fillId="12" borderId="6" xfId="0" applyNumberFormat="1" applyFont="1" applyFill="1" applyBorder="1" applyAlignment="1">
      <alignment horizontal="center"/>
    </xf>
    <xf numFmtId="0" fontId="35" fillId="0" borderId="6" xfId="0" applyFont="1" applyBorder="1" applyAlignment="1">
      <alignment vertical="top"/>
    </xf>
    <xf numFmtId="0" fontId="35" fillId="0" borderId="6" xfId="0" applyFont="1" applyBorder="1"/>
    <xf numFmtId="0" fontId="36" fillId="5" borderId="6" xfId="0" applyFont="1" applyFill="1" applyBorder="1" applyAlignment="1">
      <alignment vertical="top"/>
    </xf>
    <xf numFmtId="0" fontId="36" fillId="0" borderId="6" xfId="0" applyFont="1" applyBorder="1" applyAlignment="1">
      <alignment vertical="top"/>
    </xf>
    <xf numFmtId="0" fontId="0" fillId="0" borderId="6" xfId="0" applyBorder="1" applyAlignment="1">
      <alignment vertical="top"/>
    </xf>
    <xf numFmtId="0" fontId="36" fillId="0" borderId="6" xfId="0" applyFont="1" applyBorder="1"/>
    <xf numFmtId="0" fontId="36" fillId="0" borderId="0" xfId="0" applyFont="1" applyAlignment="1">
      <alignment vertical="top"/>
    </xf>
    <xf numFmtId="0" fontId="0" fillId="0" borderId="0" xfId="0" applyAlignment="1">
      <alignment vertical="top"/>
    </xf>
    <xf numFmtId="0" fontId="36" fillId="0" borderId="0" xfId="0" applyFont="1"/>
    <xf numFmtId="0" fontId="37" fillId="0" borderId="0" xfId="0" applyFont="1" applyAlignment="1">
      <alignment vertical="top"/>
    </xf>
    <xf numFmtId="0" fontId="37" fillId="0" borderId="0" xfId="0" applyFont="1"/>
    <xf numFmtId="0" fontId="0" fillId="13" borderId="0" xfId="0" applyFill="1"/>
    <xf numFmtId="0" fontId="0" fillId="5" borderId="0" xfId="0" applyFill="1"/>
    <xf numFmtId="0" fontId="0" fillId="14" borderId="0" xfId="0" applyFill="1"/>
    <xf numFmtId="0" fontId="0" fillId="0" borderId="6" xfId="0" applyBorder="1"/>
    <xf numFmtId="16" fontId="36" fillId="0" borderId="7" xfId="0" quotePrefix="1" applyNumberFormat="1" applyFont="1" applyBorder="1" applyAlignment="1">
      <alignment vertical="top"/>
    </xf>
    <xf numFmtId="0" fontId="36" fillId="0" borderId="7" xfId="0" applyFont="1" applyBorder="1" applyAlignment="1">
      <alignment vertical="top"/>
    </xf>
    <xf numFmtId="0" fontId="38" fillId="0" borderId="0" xfId="0" applyFont="1"/>
    <xf numFmtId="0" fontId="39" fillId="0" borderId="0" xfId="0" applyFont="1"/>
    <xf numFmtId="0" fontId="34" fillId="0" borderId="8" xfId="0" applyFont="1" applyBorder="1" applyAlignment="1">
      <alignment horizontal="center" vertical="center"/>
    </xf>
    <xf numFmtId="0" fontId="40" fillId="0" borderId="9" xfId="0" applyFont="1" applyBorder="1" applyAlignment="1">
      <alignment horizontal="center" wrapText="1"/>
    </xf>
    <xf numFmtId="0" fontId="41" fillId="0" borderId="8" xfId="0" applyFont="1" applyBorder="1" applyAlignment="1">
      <alignment horizontal="center" wrapText="1"/>
    </xf>
    <xf numFmtId="0" fontId="41" fillId="0" borderId="9" xfId="0" applyFont="1" applyBorder="1" applyAlignment="1">
      <alignment horizontal="center" wrapText="1"/>
    </xf>
    <xf numFmtId="0" fontId="34" fillId="0" borderId="10" xfId="0" applyFont="1" applyBorder="1" applyAlignment="1">
      <alignment horizontal="center"/>
    </xf>
    <xf numFmtId="0" fontId="34" fillId="0" borderId="11" xfId="0" applyFon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42" fillId="0" borderId="12" xfId="0" applyFont="1" applyBorder="1" applyAlignment="1">
      <alignment horizontal="center"/>
    </xf>
    <xf numFmtId="0" fontId="34" fillId="0" borderId="13" xfId="0" applyFont="1" applyBorder="1" applyAlignment="1">
      <alignment horizontal="center"/>
    </xf>
    <xf numFmtId="0" fontId="34" fillId="0" borderId="12" xfId="0" applyFont="1" applyBorder="1" applyAlignment="1">
      <alignment horizontal="center"/>
    </xf>
    <xf numFmtId="0" fontId="34" fillId="0" borderId="14" xfId="0" applyFont="1" applyBorder="1" applyAlignment="1">
      <alignment horizontal="center"/>
    </xf>
    <xf numFmtId="0" fontId="34" fillId="0" borderId="0" xfId="0" applyFont="1" applyAlignment="1">
      <alignment horizontal="center"/>
    </xf>
    <xf numFmtId="165" fontId="42" fillId="0" borderId="0" xfId="0" applyNumberFormat="1" applyFont="1" applyAlignment="1">
      <alignment horizontal="center"/>
    </xf>
    <xf numFmtId="165" fontId="42" fillId="0" borderId="0" xfId="0" applyNumberFormat="1" applyFont="1"/>
    <xf numFmtId="10" fontId="42" fillId="0" borderId="0" xfId="0" applyNumberFormat="1" applyFont="1"/>
    <xf numFmtId="0" fontId="33" fillId="0" borderId="0" xfId="0" applyFont="1"/>
    <xf numFmtId="0" fontId="43" fillId="0" borderId="0" xfId="0" applyFont="1"/>
    <xf numFmtId="0" fontId="0" fillId="0" borderId="8" xfId="0" applyBorder="1" applyAlignment="1">
      <alignment horizontal="center" wrapText="1"/>
    </xf>
    <xf numFmtId="0" fontId="0" fillId="0" borderId="15" xfId="0" applyBorder="1" applyAlignment="1">
      <alignment horizontal="center" wrapText="1"/>
    </xf>
    <xf numFmtId="0" fontId="34" fillId="0" borderId="9" xfId="0" applyFont="1" applyBorder="1" applyAlignment="1">
      <alignment horizontal="center" wrapText="1"/>
    </xf>
    <xf numFmtId="0" fontId="38" fillId="0" borderId="12" xfId="0" applyFont="1" applyBorder="1"/>
    <xf numFmtId="0" fontId="38" fillId="0" borderId="16" xfId="0" applyFont="1" applyBorder="1"/>
    <xf numFmtId="165" fontId="38" fillId="15" borderId="13" xfId="0" applyNumberFormat="1" applyFont="1" applyFill="1" applyBorder="1"/>
    <xf numFmtId="0" fontId="34" fillId="0" borderId="0" xfId="0" applyFont="1"/>
    <xf numFmtId="0" fontId="42" fillId="0" borderId="0" xfId="0" applyFont="1"/>
    <xf numFmtId="0" fontId="0" fillId="0" borderId="17" xfId="0" applyBorder="1"/>
    <xf numFmtId="0" fontId="34" fillId="0" borderId="18" xfId="0" applyFont="1" applyBorder="1" applyAlignment="1">
      <alignment horizontal="center" vertical="center" wrapText="1"/>
    </xf>
    <xf numFmtId="0" fontId="42" fillId="0" borderId="18" xfId="0" applyFont="1" applyBorder="1" applyAlignment="1">
      <alignment horizontal="center" vertical="center" wrapText="1"/>
    </xf>
    <xf numFmtId="0" fontId="34" fillId="0" borderId="19" xfId="0" applyFont="1" applyBorder="1" applyAlignment="1">
      <alignment horizontal="center" vertical="center"/>
    </xf>
    <xf numFmtId="0" fontId="0" fillId="0" borderId="20" xfId="0" applyBorder="1"/>
    <xf numFmtId="0" fontId="0" fillId="0" borderId="21" xfId="0" applyBorder="1"/>
    <xf numFmtId="44" fontId="0" fillId="0" borderId="21" xfId="0" applyNumberFormat="1" applyBorder="1"/>
    <xf numFmtId="44" fontId="34" fillId="15" borderId="22" xfId="0" applyNumberFormat="1" applyFont="1" applyFill="1" applyBorder="1"/>
    <xf numFmtId="0" fontId="0" fillId="0" borderId="10" xfId="0" applyBorder="1"/>
    <xf numFmtId="44" fontId="0" fillId="0" borderId="6" xfId="0" applyNumberFormat="1" applyBorder="1"/>
    <xf numFmtId="44" fontId="34" fillId="15" borderId="11" xfId="0" applyNumberFormat="1" applyFont="1" applyFill="1" applyBorder="1"/>
    <xf numFmtId="0" fontId="0" fillId="0" borderId="12" xfId="0" applyBorder="1"/>
    <xf numFmtId="0" fontId="0" fillId="0" borderId="16" xfId="0" applyBorder="1"/>
    <xf numFmtId="44" fontId="0" fillId="0" borderId="16" xfId="0" applyNumberFormat="1" applyBorder="1"/>
    <xf numFmtId="44" fontId="34" fillId="15" borderId="13" xfId="0" applyNumberFormat="1" applyFont="1" applyFill="1" applyBorder="1"/>
    <xf numFmtId="0" fontId="0" fillId="0" borderId="23" xfId="0" applyBorder="1"/>
    <xf numFmtId="44" fontId="34" fillId="0" borderId="0" xfId="0" applyNumberFormat="1" applyFont="1"/>
    <xf numFmtId="44" fontId="42" fillId="0" borderId="0" xfId="0" applyNumberFormat="1" applyFont="1"/>
    <xf numFmtId="0" fontId="41" fillId="0" borderId="24" xfId="0" applyFont="1" applyBorder="1" applyAlignment="1">
      <alignment horizontal="center" wrapText="1"/>
    </xf>
    <xf numFmtId="0" fontId="0" fillId="0" borderId="25" xfId="0" applyBorder="1" applyAlignment="1">
      <alignment horizontal="center"/>
    </xf>
    <xf numFmtId="0" fontId="34" fillId="0" borderId="26" xfId="0" applyFont="1" applyBorder="1" applyAlignment="1">
      <alignment horizontal="center"/>
    </xf>
    <xf numFmtId="0" fontId="34" fillId="0" borderId="23" xfId="0" applyFont="1" applyBorder="1" applyAlignment="1">
      <alignment horizontal="center"/>
    </xf>
    <xf numFmtId="165" fontId="0" fillId="0" borderId="0" xfId="1" applyNumberFormat="1" applyFont="1"/>
    <xf numFmtId="10" fontId="0" fillId="0" borderId="0" xfId="1" applyNumberFormat="1" applyFont="1"/>
    <xf numFmtId="0" fontId="27" fillId="3" borderId="6" xfId="0" applyFont="1" applyFill="1" applyBorder="1" applyAlignment="1">
      <alignment horizontal="right"/>
    </xf>
    <xf numFmtId="3" fontId="28" fillId="0" borderId="6" xfId="0" applyNumberFormat="1" applyFont="1" applyBorder="1" applyAlignment="1">
      <alignment horizontal="right"/>
    </xf>
    <xf numFmtId="165" fontId="28" fillId="12" borderId="6" xfId="1" applyNumberFormat="1" applyFont="1" applyFill="1" applyBorder="1" applyAlignment="1">
      <alignment horizontal="center"/>
    </xf>
    <xf numFmtId="3" fontId="28" fillId="14" borderId="6" xfId="0" applyNumberFormat="1" applyFont="1" applyFill="1" applyBorder="1" applyAlignment="1">
      <alignment horizontal="center"/>
    </xf>
    <xf numFmtId="3" fontId="28" fillId="14" borderId="6" xfId="0" applyNumberFormat="1" applyFont="1" applyFill="1" applyBorder="1" applyAlignment="1">
      <alignment horizontal="center" vertical="center"/>
    </xf>
    <xf numFmtId="3" fontId="28" fillId="14" borderId="6" xfId="0" applyNumberFormat="1" applyFont="1" applyFill="1" applyBorder="1"/>
    <xf numFmtId="9" fontId="0" fillId="0" borderId="0" xfId="1" applyFont="1"/>
    <xf numFmtId="165" fontId="45" fillId="12" borderId="6" xfId="1" applyNumberFormat="1" applyFont="1" applyFill="1" applyBorder="1" applyAlignment="1">
      <alignment horizontal="center"/>
    </xf>
    <xf numFmtId="166" fontId="28" fillId="0" borderId="6" xfId="0" applyNumberFormat="1" applyFont="1" applyBorder="1" applyAlignment="1">
      <alignment horizontal="center"/>
    </xf>
    <xf numFmtId="3" fontId="28" fillId="12" borderId="6" xfId="0" applyNumberFormat="1" applyFont="1" applyFill="1" applyBorder="1"/>
    <xf numFmtId="0" fontId="0" fillId="15" borderId="11" xfId="0" applyFill="1" applyBorder="1" applyAlignment="1">
      <alignment horizontal="center"/>
    </xf>
    <xf numFmtId="0" fontId="0" fillId="13" borderId="11" xfId="0" applyFill="1" applyBorder="1" applyAlignment="1">
      <alignment horizontal="center"/>
    </xf>
    <xf numFmtId="4" fontId="28" fillId="12" borderId="6" xfId="0" applyNumberFormat="1" applyFont="1" applyFill="1" applyBorder="1" applyAlignment="1">
      <alignment horizontal="center"/>
    </xf>
    <xf numFmtId="3" fontId="28" fillId="5" borderId="6" xfId="0" applyNumberFormat="1" applyFont="1" applyFill="1" applyBorder="1" applyAlignment="1">
      <alignment horizontal="center" vertical="center"/>
    </xf>
    <xf numFmtId="3" fontId="28" fillId="13" borderId="6" xfId="0" applyNumberFormat="1" applyFont="1" applyFill="1" applyBorder="1" applyAlignment="1">
      <alignment horizontal="center"/>
    </xf>
    <xf numFmtId="0" fontId="28" fillId="0" borderId="6" xfId="1" applyNumberFormat="1" applyFont="1" applyBorder="1" applyAlignment="1" applyProtection="1">
      <alignment vertical="center"/>
      <protection locked="0"/>
    </xf>
    <xf numFmtId="0" fontId="28" fillId="3" borderId="6" xfId="1" applyNumberFormat="1" applyFont="1" applyFill="1" applyBorder="1" applyAlignment="1">
      <alignment horizontal="center"/>
    </xf>
    <xf numFmtId="0" fontId="28" fillId="12" borderId="6" xfId="1" applyNumberFormat="1" applyFont="1" applyFill="1" applyBorder="1" applyAlignment="1">
      <alignment horizontal="center"/>
    </xf>
    <xf numFmtId="0" fontId="45" fillId="12" borderId="6" xfId="1" applyNumberFormat="1" applyFont="1" applyFill="1" applyBorder="1" applyAlignment="1">
      <alignment horizontal="center"/>
    </xf>
    <xf numFmtId="0" fontId="27" fillId="3" borderId="6" xfId="1" applyNumberFormat="1" applyFont="1" applyFill="1" applyBorder="1"/>
    <xf numFmtId="0" fontId="27" fillId="3" borderId="0" xfId="1" applyNumberFormat="1" applyFont="1" applyFill="1"/>
    <xf numFmtId="1" fontId="28" fillId="0" borderId="6" xfId="0" applyNumberFormat="1" applyFont="1" applyBorder="1" applyAlignment="1" applyProtection="1">
      <alignment vertical="center"/>
      <protection locked="0"/>
    </xf>
    <xf numFmtId="1" fontId="28" fillId="0" borderId="6" xfId="0" applyNumberFormat="1" applyFont="1" applyBorder="1"/>
    <xf numFmtId="1" fontId="27" fillId="0" borderId="6" xfId="0" applyNumberFormat="1" applyFont="1" applyBorder="1"/>
    <xf numFmtId="1" fontId="27" fillId="0" borderId="0" xfId="0" applyNumberFormat="1" applyFont="1"/>
    <xf numFmtId="1" fontId="28" fillId="12" borderId="6" xfId="0" applyNumberFormat="1" applyFont="1" applyFill="1" applyBorder="1"/>
    <xf numFmtId="0" fontId="46" fillId="3" borderId="6" xfId="0" applyFont="1" applyFill="1" applyBorder="1"/>
    <xf numFmtId="9" fontId="28" fillId="12" borderId="6" xfId="1" applyFont="1" applyFill="1" applyBorder="1" applyAlignment="1">
      <alignment horizontal="center"/>
    </xf>
    <xf numFmtId="0" fontId="36" fillId="14" borderId="6" xfId="0" applyFont="1" applyFill="1" applyBorder="1" applyAlignment="1">
      <alignment vertical="top"/>
    </xf>
    <xf numFmtId="0" fontId="0" fillId="14" borderId="6" xfId="0" applyFill="1" applyBorder="1" applyAlignment="1">
      <alignment vertical="top"/>
    </xf>
    <xf numFmtId="0" fontId="36" fillId="14" borderId="6" xfId="0" applyFont="1" applyFill="1" applyBorder="1"/>
    <xf numFmtId="0" fontId="8" fillId="0" borderId="6" xfId="0" applyFont="1" applyBorder="1"/>
    <xf numFmtId="0" fontId="28" fillId="14" borderId="6" xfId="0" applyFont="1" applyFill="1" applyBorder="1"/>
    <xf numFmtId="165" fontId="28" fillId="13" borderId="6" xfId="1" applyNumberFormat="1" applyFont="1" applyFill="1" applyBorder="1" applyAlignment="1">
      <alignment horizontal="center"/>
    </xf>
    <xf numFmtId="0" fontId="28" fillId="13" borderId="6" xfId="1" applyNumberFormat="1" applyFont="1" applyFill="1" applyBorder="1" applyAlignment="1">
      <alignment horizontal="center"/>
    </xf>
    <xf numFmtId="4" fontId="28" fillId="5" borderId="6" xfId="0" applyNumberFormat="1" applyFont="1" applyFill="1" applyBorder="1" applyAlignment="1">
      <alignment horizontal="center"/>
    </xf>
    <xf numFmtId="0" fontId="41" fillId="0" borderId="0" xfId="0" applyFont="1" applyAlignment="1">
      <alignment horizontal="center" wrapText="1"/>
    </xf>
    <xf numFmtId="10" fontId="28" fillId="12" borderId="6" xfId="1" applyNumberFormat="1" applyFont="1" applyFill="1" applyBorder="1" applyAlignment="1">
      <alignment horizontal="center"/>
    </xf>
    <xf numFmtId="3" fontId="28" fillId="5" borderId="6" xfId="0" applyNumberFormat="1" applyFont="1" applyFill="1" applyBorder="1" applyAlignment="1">
      <alignment horizontal="center"/>
    </xf>
    <xf numFmtId="0" fontId="28" fillId="15" borderId="6" xfId="1" applyNumberFormat="1" applyFont="1" applyFill="1" applyBorder="1" applyAlignment="1">
      <alignment horizontal="center"/>
    </xf>
    <xf numFmtId="3" fontId="28" fillId="15" borderId="6" xfId="0" applyNumberFormat="1" applyFont="1" applyFill="1" applyBorder="1" applyAlignment="1">
      <alignment horizontal="center"/>
    </xf>
    <xf numFmtId="1" fontId="28" fillId="0" borderId="6" xfId="1" applyNumberFormat="1" applyFont="1" applyFill="1" applyBorder="1" applyAlignment="1">
      <alignment horizontal="center"/>
    </xf>
    <xf numFmtId="4" fontId="28" fillId="13" borderId="6" xfId="0" applyNumberFormat="1" applyFont="1" applyFill="1" applyBorder="1" applyAlignment="1">
      <alignment horizontal="center"/>
    </xf>
    <xf numFmtId="0" fontId="1" fillId="0" borderId="6" xfId="0" applyFont="1" applyBorder="1"/>
    <xf numFmtId="165" fontId="28" fillId="15" borderId="6" xfId="1" applyNumberFormat="1" applyFont="1" applyFill="1" applyBorder="1" applyAlignment="1">
      <alignment horizontal="center"/>
    </xf>
    <xf numFmtId="3" fontId="27" fillId="12" borderId="6" xfId="0" applyNumberFormat="1" applyFont="1" applyFill="1" applyBorder="1" applyAlignment="1">
      <alignment horizontal="center"/>
    </xf>
  </cellXfs>
  <cellStyles count="4">
    <cellStyle name="Hyperlink" xfId="3" builtinId="8"/>
    <cellStyle name="Komma" xfId="2" builtinId="3"/>
    <cellStyle name="Procent" xfId="1" builtinId="5"/>
    <cellStyle name="Standaard" xfId="0" builtinId="0"/>
  </cellStyles>
  <dxfs count="52">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7"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7"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7" tint="-0.24994659260841701"/>
        </patternFill>
      </fill>
    </dxf>
    <dxf>
      <font>
        <color theme="0"/>
      </font>
      <fill>
        <patternFill>
          <bgColor theme="7" tint="-0.2499465926084170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7"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7"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7" tint="-0.24994659260841701"/>
        </patternFill>
      </fill>
    </dxf>
    <dxf>
      <font>
        <color theme="0"/>
      </font>
      <fill>
        <patternFill>
          <bgColor theme="7" tint="-0.2499465926084170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ill>
        <patternFill patternType="solid">
          <fgColor indexed="64"/>
          <bgColor rgb="FFFF0000"/>
        </patternFill>
      </fill>
    </dxf>
    <dxf>
      <fill>
        <patternFill patternType="solid">
          <fgColor indexed="64"/>
          <bgColor rgb="FFFFC000"/>
        </patternFill>
      </fill>
    </dxf>
    <dxf>
      <fill>
        <patternFill patternType="solid">
          <fgColor indexed="64"/>
          <bgColor rgb="FF00B050"/>
        </patternFill>
      </fill>
    </dxf>
    <dxf>
      <fill>
        <patternFill>
          <bgColor rgb="FF00B050"/>
        </patternFill>
      </fill>
    </dxf>
    <dxf>
      <fill>
        <patternFill>
          <bgColor rgb="FF00B050"/>
        </patternFill>
      </fill>
    </dxf>
    <dxf>
      <fill>
        <patternFill>
          <bgColor rgb="FFFF0000"/>
        </patternFill>
      </fill>
    </dxf>
    <dxf>
      <fill>
        <patternFill>
          <bgColor theme="5"/>
        </patternFill>
      </fill>
    </dxf>
    <dxf>
      <fill>
        <patternFill>
          <bgColor theme="6"/>
        </patternFill>
      </fill>
    </dxf>
    <dxf>
      <fill>
        <patternFill>
          <bgColor theme="7" tint="0.39994506668294322"/>
        </patternFill>
      </fill>
    </dxf>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Bezettingsgraad (minimaal 90%)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spPr>
            <a:ln w="28575" cap="rnd">
              <a:solidFill>
                <a:schemeClr val="accent1"/>
              </a:solidFill>
              <a:round/>
            </a:ln>
            <a:effectLst/>
          </c:spPr>
          <c:marker>
            <c:symbol val="none"/>
          </c:marker>
          <c:cat>
            <c:strRef>
              <c:f>'Weekly Dashboard'!$E$3:$AN$3</c:f>
              <c:strCache>
                <c:ptCount val="36"/>
                <c:pt idx="0">
                  <c:v>Week 16</c:v>
                </c:pt>
                <c:pt idx="1">
                  <c:v>Week 17</c:v>
                </c:pt>
                <c:pt idx="2">
                  <c:v>Week 18</c:v>
                </c:pt>
                <c:pt idx="3">
                  <c:v>Week 19</c:v>
                </c:pt>
                <c:pt idx="4">
                  <c:v>Week 20</c:v>
                </c:pt>
                <c:pt idx="5">
                  <c:v>Week 21</c:v>
                </c:pt>
                <c:pt idx="6">
                  <c:v>Week 22</c:v>
                </c:pt>
                <c:pt idx="7">
                  <c:v>Week 23</c:v>
                </c:pt>
                <c:pt idx="8">
                  <c:v>Week 24</c:v>
                </c:pt>
                <c:pt idx="9">
                  <c:v>Week 25</c:v>
                </c:pt>
                <c:pt idx="10">
                  <c:v>Week 26</c:v>
                </c:pt>
                <c:pt idx="11">
                  <c:v>Week 27</c:v>
                </c:pt>
                <c:pt idx="12">
                  <c:v>Week 28</c:v>
                </c:pt>
                <c:pt idx="13">
                  <c:v>Week 29</c:v>
                </c:pt>
                <c:pt idx="14">
                  <c:v>Week 30</c:v>
                </c:pt>
                <c:pt idx="15">
                  <c:v>Week 31</c:v>
                </c:pt>
                <c:pt idx="16">
                  <c:v>Week 32</c:v>
                </c:pt>
                <c:pt idx="17">
                  <c:v>Week 33</c:v>
                </c:pt>
                <c:pt idx="18">
                  <c:v>Week 34</c:v>
                </c:pt>
                <c:pt idx="19">
                  <c:v>Week 35</c:v>
                </c:pt>
                <c:pt idx="20">
                  <c:v>Week 36</c:v>
                </c:pt>
                <c:pt idx="21">
                  <c:v>Week 37</c:v>
                </c:pt>
                <c:pt idx="22">
                  <c:v>Week 38</c:v>
                </c:pt>
                <c:pt idx="23">
                  <c:v>Week 39</c:v>
                </c:pt>
                <c:pt idx="24">
                  <c:v>Week 40</c:v>
                </c:pt>
                <c:pt idx="25">
                  <c:v>Week 41</c:v>
                </c:pt>
                <c:pt idx="26">
                  <c:v>Week 42</c:v>
                </c:pt>
                <c:pt idx="27">
                  <c:v>Week 43</c:v>
                </c:pt>
                <c:pt idx="28">
                  <c:v>Week 44</c:v>
                </c:pt>
                <c:pt idx="29">
                  <c:v>Week 45</c:v>
                </c:pt>
                <c:pt idx="30">
                  <c:v>Week 46</c:v>
                </c:pt>
                <c:pt idx="31">
                  <c:v>Week 47</c:v>
                </c:pt>
                <c:pt idx="32">
                  <c:v>Week 48</c:v>
                </c:pt>
                <c:pt idx="33">
                  <c:v>Week 49</c:v>
                </c:pt>
                <c:pt idx="34">
                  <c:v>Week 50</c:v>
                </c:pt>
                <c:pt idx="35">
                  <c:v>Week 51</c:v>
                </c:pt>
              </c:strCache>
            </c:strRef>
          </c:cat>
          <c:val>
            <c:numRef>
              <c:f>'Weekly Dashboard'!$E$6:$AN$6</c:f>
              <c:numCache>
                <c:formatCode>0.0%</c:formatCode>
                <c:ptCount val="36"/>
                <c:pt idx="0">
                  <c:v>0.93799999999999994</c:v>
                </c:pt>
                <c:pt idx="1">
                  <c:v>1</c:v>
                </c:pt>
                <c:pt idx="2">
                  <c:v>1</c:v>
                </c:pt>
                <c:pt idx="3">
                  <c:v>0.97</c:v>
                </c:pt>
                <c:pt idx="4">
                  <c:v>1</c:v>
                </c:pt>
                <c:pt idx="5">
                  <c:v>1</c:v>
                </c:pt>
                <c:pt idx="6">
                  <c:v>1</c:v>
                </c:pt>
                <c:pt idx="7">
                  <c:v>1</c:v>
                </c:pt>
                <c:pt idx="8" formatCode="0%">
                  <c:v>1</c:v>
                </c:pt>
                <c:pt idx="9">
                  <c:v>1</c:v>
                </c:pt>
                <c:pt idx="10">
                  <c:v>1</c:v>
                </c:pt>
                <c:pt idx="11">
                  <c:v>0.92310000000000003</c:v>
                </c:pt>
                <c:pt idx="12" formatCode="0.00%">
                  <c:v>0.98780000000000001</c:v>
                </c:pt>
                <c:pt idx="13" formatCode="0.00%">
                  <c:v>0.96879999999999999</c:v>
                </c:pt>
                <c:pt idx="14" formatCode="0.00%">
                  <c:v>0.9677</c:v>
                </c:pt>
                <c:pt idx="15" formatCode="0.00%">
                  <c:v>0.96430000000000005</c:v>
                </c:pt>
                <c:pt idx="16">
                  <c:v>1</c:v>
                </c:pt>
                <c:pt idx="17">
                  <c:v>1</c:v>
                </c:pt>
                <c:pt idx="18">
                  <c:v>0.90629999999999999</c:v>
                </c:pt>
                <c:pt idx="19">
                  <c:v>0.95</c:v>
                </c:pt>
                <c:pt idx="20">
                  <c:v>0.86</c:v>
                </c:pt>
                <c:pt idx="21" formatCode="0.00%">
                  <c:v>0.93179999999999996</c:v>
                </c:pt>
                <c:pt idx="22" formatCode="0.00%">
                  <c:v>0.95350000000000001</c:v>
                </c:pt>
              </c:numCache>
            </c:numRef>
          </c:val>
          <c:smooth val="0"/>
          <c:extLst>
            <c:ext xmlns:c16="http://schemas.microsoft.com/office/drawing/2014/chart" uri="{C3380CC4-5D6E-409C-BE32-E72D297353CC}">
              <c16:uniqueId val="{00000000-ED3E-4E6F-B7ED-78035615B06B}"/>
            </c:ext>
          </c:extLst>
        </c:ser>
        <c:dLbls>
          <c:showLegendKey val="0"/>
          <c:showVal val="0"/>
          <c:showCatName val="0"/>
          <c:showSerName val="0"/>
          <c:showPercent val="0"/>
          <c:showBubbleSize val="0"/>
        </c:dLbls>
        <c:smooth val="0"/>
        <c:axId val="989771888"/>
        <c:axId val="989779280"/>
      </c:lineChart>
      <c:catAx>
        <c:axId val="98977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89779280"/>
        <c:crosses val="autoZero"/>
        <c:auto val="1"/>
        <c:lblAlgn val="ctr"/>
        <c:lblOffset val="100"/>
        <c:noMultiLvlLbl val="0"/>
      </c:catAx>
      <c:valAx>
        <c:axId val="9897792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98977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Aantal ingezette dagen per week (doel is 45)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tx>
            <c:v>Aantal ingezette dagen</c:v>
          </c:tx>
          <c:spPr>
            <a:ln w="28575" cap="rnd">
              <a:solidFill>
                <a:schemeClr val="accent1"/>
              </a:solidFill>
              <a:round/>
            </a:ln>
            <a:effectLst/>
          </c:spPr>
          <c:marker>
            <c:symbol val="none"/>
          </c:marker>
          <c:cat>
            <c:strRef>
              <c:f>'Weekly Dashboard'!$D$3:$AO$3</c:f>
              <c:strCache>
                <c:ptCount val="38"/>
                <c:pt idx="0">
                  <c:v>Week 15</c:v>
                </c:pt>
                <c:pt idx="1">
                  <c:v>Week 16</c:v>
                </c:pt>
                <c:pt idx="2">
                  <c:v>Week 17</c:v>
                </c:pt>
                <c:pt idx="3">
                  <c:v>Week 18</c:v>
                </c:pt>
                <c:pt idx="4">
                  <c:v>Week 19</c:v>
                </c:pt>
                <c:pt idx="5">
                  <c:v>Week 20</c:v>
                </c:pt>
                <c:pt idx="6">
                  <c:v>Week 21</c:v>
                </c:pt>
                <c:pt idx="7">
                  <c:v>Week 22</c:v>
                </c:pt>
                <c:pt idx="8">
                  <c:v>Week 23</c:v>
                </c:pt>
                <c:pt idx="9">
                  <c:v>Week 24</c:v>
                </c:pt>
                <c:pt idx="10">
                  <c:v>Week 25</c:v>
                </c:pt>
                <c:pt idx="11">
                  <c:v>Week 26</c:v>
                </c:pt>
                <c:pt idx="12">
                  <c:v>Week 27</c:v>
                </c:pt>
                <c:pt idx="13">
                  <c:v>Week 28</c:v>
                </c:pt>
                <c:pt idx="14">
                  <c:v>Week 29</c:v>
                </c:pt>
                <c:pt idx="15">
                  <c:v>Week 30</c:v>
                </c:pt>
                <c:pt idx="16">
                  <c:v>Week 31</c:v>
                </c:pt>
                <c:pt idx="17">
                  <c:v>Week 32</c:v>
                </c:pt>
                <c:pt idx="18">
                  <c:v>Week 33</c:v>
                </c:pt>
                <c:pt idx="19">
                  <c:v>Week 34</c:v>
                </c:pt>
                <c:pt idx="20">
                  <c:v>Week 35</c:v>
                </c:pt>
                <c:pt idx="21">
                  <c:v>Week 36</c:v>
                </c:pt>
                <c:pt idx="22">
                  <c:v>Week 37</c:v>
                </c:pt>
                <c:pt idx="23">
                  <c:v>Week 38</c:v>
                </c:pt>
                <c:pt idx="24">
                  <c:v>Week 39</c:v>
                </c:pt>
                <c:pt idx="25">
                  <c:v>Week 40</c:v>
                </c:pt>
                <c:pt idx="26">
                  <c:v>Week 41</c:v>
                </c:pt>
                <c:pt idx="27">
                  <c:v>Week 42</c:v>
                </c:pt>
                <c:pt idx="28">
                  <c:v>Week 43</c:v>
                </c:pt>
                <c:pt idx="29">
                  <c:v>Week 44</c:v>
                </c:pt>
                <c:pt idx="30">
                  <c:v>Week 45</c:v>
                </c:pt>
                <c:pt idx="31">
                  <c:v>Week 46</c:v>
                </c:pt>
                <c:pt idx="32">
                  <c:v>Week 47</c:v>
                </c:pt>
                <c:pt idx="33">
                  <c:v>Week 48</c:v>
                </c:pt>
                <c:pt idx="34">
                  <c:v>Week 49</c:v>
                </c:pt>
                <c:pt idx="35">
                  <c:v>Week 50</c:v>
                </c:pt>
                <c:pt idx="36">
                  <c:v>Week 51</c:v>
                </c:pt>
                <c:pt idx="37">
                  <c:v>Week 52</c:v>
                </c:pt>
              </c:strCache>
            </c:strRef>
          </c:cat>
          <c:val>
            <c:numRef>
              <c:f>'Weekly Dashboard'!$D$7:$AO$7</c:f>
              <c:numCache>
                <c:formatCode>General</c:formatCode>
                <c:ptCount val="38"/>
                <c:pt idx="7">
                  <c:v>32</c:v>
                </c:pt>
                <c:pt idx="8">
                  <c:v>44</c:v>
                </c:pt>
                <c:pt idx="9">
                  <c:v>43</c:v>
                </c:pt>
                <c:pt idx="10">
                  <c:v>40</c:v>
                </c:pt>
                <c:pt idx="11">
                  <c:v>38</c:v>
                </c:pt>
                <c:pt idx="12">
                  <c:v>35.5</c:v>
                </c:pt>
                <c:pt idx="13">
                  <c:v>40.5</c:v>
                </c:pt>
                <c:pt idx="14">
                  <c:v>31</c:v>
                </c:pt>
                <c:pt idx="15">
                  <c:v>30</c:v>
                </c:pt>
                <c:pt idx="16">
                  <c:v>27</c:v>
                </c:pt>
                <c:pt idx="17">
                  <c:v>28</c:v>
                </c:pt>
                <c:pt idx="18">
                  <c:v>24</c:v>
                </c:pt>
                <c:pt idx="19">
                  <c:v>29</c:v>
                </c:pt>
                <c:pt idx="20">
                  <c:v>38</c:v>
                </c:pt>
                <c:pt idx="21">
                  <c:v>37</c:v>
                </c:pt>
                <c:pt idx="22">
                  <c:v>41</c:v>
                </c:pt>
                <c:pt idx="23">
                  <c:v>41</c:v>
                </c:pt>
              </c:numCache>
            </c:numRef>
          </c:val>
          <c:smooth val="0"/>
          <c:extLst>
            <c:ext xmlns:c16="http://schemas.microsoft.com/office/drawing/2014/chart" uri="{C3380CC4-5D6E-409C-BE32-E72D297353CC}">
              <c16:uniqueId val="{00000000-D59A-4945-9050-72F8C5B246A7}"/>
            </c:ext>
          </c:extLst>
        </c:ser>
        <c:dLbls>
          <c:showLegendKey val="0"/>
          <c:showVal val="0"/>
          <c:showCatName val="0"/>
          <c:showSerName val="0"/>
          <c:showPercent val="0"/>
          <c:showBubbleSize val="0"/>
        </c:dLbls>
        <c:smooth val="0"/>
        <c:axId val="875648976"/>
        <c:axId val="875649328"/>
      </c:lineChart>
      <c:catAx>
        <c:axId val="87564897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Weken</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75649328"/>
        <c:crosses val="autoZero"/>
        <c:auto val="1"/>
        <c:lblAlgn val="ctr"/>
        <c:lblOffset val="100"/>
        <c:noMultiLvlLbl val="0"/>
      </c:catAx>
      <c:valAx>
        <c:axId val="875649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Aantal dagen</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75648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nl-NL"/>
              <a:t>Cumulatief aantal C.V.'s YTD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tx>
            <c:v>Cumulatief C.V.'s</c:v>
          </c:tx>
          <c:spPr>
            <a:ln w="28575" cap="rnd">
              <a:solidFill>
                <a:schemeClr val="accent1"/>
              </a:solidFill>
              <a:round/>
            </a:ln>
            <a:effectLst/>
          </c:spPr>
          <c:marker>
            <c:symbol val="none"/>
          </c:marker>
          <c:cat>
            <c:strRef>
              <c:f>'Weekly Dashboard'!$D$3:$AO$3</c:f>
              <c:strCache>
                <c:ptCount val="38"/>
                <c:pt idx="0">
                  <c:v>Week 15</c:v>
                </c:pt>
                <c:pt idx="1">
                  <c:v>Week 16</c:v>
                </c:pt>
                <c:pt idx="2">
                  <c:v>Week 17</c:v>
                </c:pt>
                <c:pt idx="3">
                  <c:v>Week 18</c:v>
                </c:pt>
                <c:pt idx="4">
                  <c:v>Week 19</c:v>
                </c:pt>
                <c:pt idx="5">
                  <c:v>Week 20</c:v>
                </c:pt>
                <c:pt idx="6">
                  <c:v>Week 21</c:v>
                </c:pt>
                <c:pt idx="7">
                  <c:v>Week 22</c:v>
                </c:pt>
                <c:pt idx="8">
                  <c:v>Week 23</c:v>
                </c:pt>
                <c:pt idx="9">
                  <c:v>Week 24</c:v>
                </c:pt>
                <c:pt idx="10">
                  <c:v>Week 25</c:v>
                </c:pt>
                <c:pt idx="11">
                  <c:v>Week 26</c:v>
                </c:pt>
                <c:pt idx="12">
                  <c:v>Week 27</c:v>
                </c:pt>
                <c:pt idx="13">
                  <c:v>Week 28</c:v>
                </c:pt>
                <c:pt idx="14">
                  <c:v>Week 29</c:v>
                </c:pt>
                <c:pt idx="15">
                  <c:v>Week 30</c:v>
                </c:pt>
                <c:pt idx="16">
                  <c:v>Week 31</c:v>
                </c:pt>
                <c:pt idx="17">
                  <c:v>Week 32</c:v>
                </c:pt>
                <c:pt idx="18">
                  <c:v>Week 33</c:v>
                </c:pt>
                <c:pt idx="19">
                  <c:v>Week 34</c:v>
                </c:pt>
                <c:pt idx="20">
                  <c:v>Week 35</c:v>
                </c:pt>
                <c:pt idx="21">
                  <c:v>Week 36</c:v>
                </c:pt>
                <c:pt idx="22">
                  <c:v>Week 37</c:v>
                </c:pt>
                <c:pt idx="23">
                  <c:v>Week 38</c:v>
                </c:pt>
                <c:pt idx="24">
                  <c:v>Week 39</c:v>
                </c:pt>
                <c:pt idx="25">
                  <c:v>Week 40</c:v>
                </c:pt>
                <c:pt idx="26">
                  <c:v>Week 41</c:v>
                </c:pt>
                <c:pt idx="27">
                  <c:v>Week 42</c:v>
                </c:pt>
                <c:pt idx="28">
                  <c:v>Week 43</c:v>
                </c:pt>
                <c:pt idx="29">
                  <c:v>Week 44</c:v>
                </c:pt>
                <c:pt idx="30">
                  <c:v>Week 45</c:v>
                </c:pt>
                <c:pt idx="31">
                  <c:v>Week 46</c:v>
                </c:pt>
                <c:pt idx="32">
                  <c:v>Week 47</c:v>
                </c:pt>
                <c:pt idx="33">
                  <c:v>Week 48</c:v>
                </c:pt>
                <c:pt idx="34">
                  <c:v>Week 49</c:v>
                </c:pt>
                <c:pt idx="35">
                  <c:v>Week 50</c:v>
                </c:pt>
                <c:pt idx="36">
                  <c:v>Week 51</c:v>
                </c:pt>
                <c:pt idx="37">
                  <c:v>Week 52</c:v>
                </c:pt>
              </c:strCache>
            </c:strRef>
          </c:cat>
          <c:val>
            <c:numRef>
              <c:f>'Weekly Dashboard'!$D$9:$AO$9</c:f>
              <c:numCache>
                <c:formatCode>#,##0</c:formatCode>
                <c:ptCount val="38"/>
                <c:pt idx="0">
                  <c:v>8</c:v>
                </c:pt>
                <c:pt idx="1">
                  <c:v>16</c:v>
                </c:pt>
                <c:pt idx="2">
                  <c:v>18</c:v>
                </c:pt>
                <c:pt idx="3">
                  <c:v>24</c:v>
                </c:pt>
                <c:pt idx="4">
                  <c:v>27</c:v>
                </c:pt>
                <c:pt idx="5">
                  <c:v>27</c:v>
                </c:pt>
                <c:pt idx="6">
                  <c:v>27</c:v>
                </c:pt>
                <c:pt idx="7">
                  <c:v>28</c:v>
                </c:pt>
                <c:pt idx="8">
                  <c:v>29</c:v>
                </c:pt>
                <c:pt idx="9">
                  <c:v>29</c:v>
                </c:pt>
                <c:pt idx="10">
                  <c:v>29</c:v>
                </c:pt>
                <c:pt idx="11">
                  <c:v>29</c:v>
                </c:pt>
                <c:pt idx="12">
                  <c:v>29</c:v>
                </c:pt>
                <c:pt idx="13">
                  <c:v>37</c:v>
                </c:pt>
                <c:pt idx="14">
                  <c:v>40</c:v>
                </c:pt>
                <c:pt idx="15">
                  <c:v>41</c:v>
                </c:pt>
                <c:pt idx="16">
                  <c:v>41</c:v>
                </c:pt>
                <c:pt idx="17">
                  <c:v>41</c:v>
                </c:pt>
                <c:pt idx="18">
                  <c:v>43</c:v>
                </c:pt>
                <c:pt idx="19">
                  <c:v>46</c:v>
                </c:pt>
                <c:pt idx="20">
                  <c:v>46</c:v>
                </c:pt>
                <c:pt idx="21">
                  <c:v>46</c:v>
                </c:pt>
                <c:pt idx="22">
                  <c:v>49</c:v>
                </c:pt>
                <c:pt idx="23">
                  <c:v>51</c:v>
                </c:pt>
                <c:pt idx="24">
                  <c:v>51</c:v>
                </c:pt>
                <c:pt idx="25">
                  <c:v>51</c:v>
                </c:pt>
                <c:pt idx="26">
                  <c:v>51</c:v>
                </c:pt>
                <c:pt idx="27">
                  <c:v>51</c:v>
                </c:pt>
                <c:pt idx="28">
                  <c:v>51</c:v>
                </c:pt>
                <c:pt idx="29">
                  <c:v>51</c:v>
                </c:pt>
                <c:pt idx="30">
                  <c:v>51</c:v>
                </c:pt>
                <c:pt idx="31">
                  <c:v>51</c:v>
                </c:pt>
                <c:pt idx="32">
                  <c:v>51</c:v>
                </c:pt>
                <c:pt idx="33">
                  <c:v>51</c:v>
                </c:pt>
                <c:pt idx="34">
                  <c:v>51</c:v>
                </c:pt>
                <c:pt idx="35">
                  <c:v>51</c:v>
                </c:pt>
                <c:pt idx="36">
                  <c:v>51</c:v>
                </c:pt>
                <c:pt idx="37">
                  <c:v>51</c:v>
                </c:pt>
              </c:numCache>
            </c:numRef>
          </c:val>
          <c:smooth val="0"/>
          <c:extLst>
            <c:ext xmlns:c16="http://schemas.microsoft.com/office/drawing/2014/chart" uri="{C3380CC4-5D6E-409C-BE32-E72D297353CC}">
              <c16:uniqueId val="{00000000-A172-4933-821D-BE4B71A5E362}"/>
            </c:ext>
          </c:extLst>
        </c:ser>
        <c:dLbls>
          <c:showLegendKey val="0"/>
          <c:showVal val="0"/>
          <c:showCatName val="0"/>
          <c:showSerName val="0"/>
          <c:showPercent val="0"/>
          <c:showBubbleSize val="0"/>
        </c:dLbls>
        <c:smooth val="0"/>
        <c:axId val="1140614976"/>
        <c:axId val="1140610752"/>
      </c:lineChart>
      <c:catAx>
        <c:axId val="1140614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Weken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40610752"/>
        <c:crosses val="autoZero"/>
        <c:auto val="1"/>
        <c:lblAlgn val="ctr"/>
        <c:lblOffset val="100"/>
        <c:noMultiLvlLbl val="0"/>
      </c:catAx>
      <c:valAx>
        <c:axId val="1140610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Totaal C.V.'s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40614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nl-NL"/>
              <a:t>Contactmomenten opdrachtgever FSC per week (moet 10 zijn)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tx>
            <c:v>Contactmomenten FSC</c:v>
          </c:tx>
          <c:spPr>
            <a:ln w="28575" cap="rnd">
              <a:solidFill>
                <a:schemeClr val="accent1"/>
              </a:solidFill>
              <a:round/>
            </a:ln>
            <a:effectLst/>
          </c:spPr>
          <c:marker>
            <c:symbol val="none"/>
          </c:marker>
          <c:cat>
            <c:strRef>
              <c:f>'Weekly Dashboard'!$D$3:$AO$3</c:f>
              <c:strCache>
                <c:ptCount val="38"/>
                <c:pt idx="0">
                  <c:v>Week 15</c:v>
                </c:pt>
                <c:pt idx="1">
                  <c:v>Week 16</c:v>
                </c:pt>
                <c:pt idx="2">
                  <c:v>Week 17</c:v>
                </c:pt>
                <c:pt idx="3">
                  <c:v>Week 18</c:v>
                </c:pt>
                <c:pt idx="4">
                  <c:v>Week 19</c:v>
                </c:pt>
                <c:pt idx="5">
                  <c:v>Week 20</c:v>
                </c:pt>
                <c:pt idx="6">
                  <c:v>Week 21</c:v>
                </c:pt>
                <c:pt idx="7">
                  <c:v>Week 22</c:v>
                </c:pt>
                <c:pt idx="8">
                  <c:v>Week 23</c:v>
                </c:pt>
                <c:pt idx="9">
                  <c:v>Week 24</c:v>
                </c:pt>
                <c:pt idx="10">
                  <c:v>Week 25</c:v>
                </c:pt>
                <c:pt idx="11">
                  <c:v>Week 26</c:v>
                </c:pt>
                <c:pt idx="12">
                  <c:v>Week 27</c:v>
                </c:pt>
                <c:pt idx="13">
                  <c:v>Week 28</c:v>
                </c:pt>
                <c:pt idx="14">
                  <c:v>Week 29</c:v>
                </c:pt>
                <c:pt idx="15">
                  <c:v>Week 30</c:v>
                </c:pt>
                <c:pt idx="16">
                  <c:v>Week 31</c:v>
                </c:pt>
                <c:pt idx="17">
                  <c:v>Week 32</c:v>
                </c:pt>
                <c:pt idx="18">
                  <c:v>Week 33</c:v>
                </c:pt>
                <c:pt idx="19">
                  <c:v>Week 34</c:v>
                </c:pt>
                <c:pt idx="20">
                  <c:v>Week 35</c:v>
                </c:pt>
                <c:pt idx="21">
                  <c:v>Week 36</c:v>
                </c:pt>
                <c:pt idx="22">
                  <c:v>Week 37</c:v>
                </c:pt>
                <c:pt idx="23">
                  <c:v>Week 38</c:v>
                </c:pt>
                <c:pt idx="24">
                  <c:v>Week 39</c:v>
                </c:pt>
                <c:pt idx="25">
                  <c:v>Week 40</c:v>
                </c:pt>
                <c:pt idx="26">
                  <c:v>Week 41</c:v>
                </c:pt>
                <c:pt idx="27">
                  <c:v>Week 42</c:v>
                </c:pt>
                <c:pt idx="28">
                  <c:v>Week 43</c:v>
                </c:pt>
                <c:pt idx="29">
                  <c:v>Week 44</c:v>
                </c:pt>
                <c:pt idx="30">
                  <c:v>Week 45</c:v>
                </c:pt>
                <c:pt idx="31">
                  <c:v>Week 46</c:v>
                </c:pt>
                <c:pt idx="32">
                  <c:v>Week 47</c:v>
                </c:pt>
                <c:pt idx="33">
                  <c:v>Week 48</c:v>
                </c:pt>
                <c:pt idx="34">
                  <c:v>Week 49</c:v>
                </c:pt>
                <c:pt idx="35">
                  <c:v>Week 50</c:v>
                </c:pt>
                <c:pt idx="36">
                  <c:v>Week 51</c:v>
                </c:pt>
                <c:pt idx="37">
                  <c:v>Week 52</c:v>
                </c:pt>
              </c:strCache>
            </c:strRef>
          </c:cat>
          <c:val>
            <c:numRef>
              <c:f>'Weekly Dashboard'!$D$10:$AO$10</c:f>
              <c:numCache>
                <c:formatCode>#,##0</c:formatCode>
                <c:ptCount val="38"/>
                <c:pt idx="1">
                  <c:v>6</c:v>
                </c:pt>
                <c:pt idx="2">
                  <c:v>14</c:v>
                </c:pt>
                <c:pt idx="3">
                  <c:v>6</c:v>
                </c:pt>
                <c:pt idx="4">
                  <c:v>17</c:v>
                </c:pt>
                <c:pt idx="5">
                  <c:v>13</c:v>
                </c:pt>
                <c:pt idx="6">
                  <c:v>11</c:v>
                </c:pt>
                <c:pt idx="7">
                  <c:v>10</c:v>
                </c:pt>
                <c:pt idx="8">
                  <c:v>18</c:v>
                </c:pt>
                <c:pt idx="9">
                  <c:v>21</c:v>
                </c:pt>
                <c:pt idx="10">
                  <c:v>7</c:v>
                </c:pt>
                <c:pt idx="11">
                  <c:v>12</c:v>
                </c:pt>
                <c:pt idx="12">
                  <c:v>17</c:v>
                </c:pt>
                <c:pt idx="13">
                  <c:v>13</c:v>
                </c:pt>
                <c:pt idx="14">
                  <c:v>5</c:v>
                </c:pt>
                <c:pt idx="15">
                  <c:v>11</c:v>
                </c:pt>
                <c:pt idx="16">
                  <c:v>8</c:v>
                </c:pt>
                <c:pt idx="17">
                  <c:v>8</c:v>
                </c:pt>
                <c:pt idx="18">
                  <c:v>7</c:v>
                </c:pt>
                <c:pt idx="19">
                  <c:v>6</c:v>
                </c:pt>
                <c:pt idx="20">
                  <c:v>8</c:v>
                </c:pt>
                <c:pt idx="21">
                  <c:v>14</c:v>
                </c:pt>
                <c:pt idx="22">
                  <c:v>10</c:v>
                </c:pt>
                <c:pt idx="23">
                  <c:v>16</c:v>
                </c:pt>
              </c:numCache>
            </c:numRef>
          </c:val>
          <c:smooth val="0"/>
          <c:extLst>
            <c:ext xmlns:c16="http://schemas.microsoft.com/office/drawing/2014/chart" uri="{C3380CC4-5D6E-409C-BE32-E72D297353CC}">
              <c16:uniqueId val="{00000000-77A2-414D-9D0B-0D7F20FB15A8}"/>
            </c:ext>
          </c:extLst>
        </c:ser>
        <c:dLbls>
          <c:showLegendKey val="0"/>
          <c:showVal val="0"/>
          <c:showCatName val="0"/>
          <c:showSerName val="0"/>
          <c:showPercent val="0"/>
          <c:showBubbleSize val="0"/>
        </c:dLbls>
        <c:smooth val="0"/>
        <c:axId val="1135430880"/>
        <c:axId val="1135431232"/>
      </c:lineChart>
      <c:catAx>
        <c:axId val="1135430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Weken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35431232"/>
        <c:crosses val="autoZero"/>
        <c:auto val="1"/>
        <c:lblAlgn val="ctr"/>
        <c:lblOffset val="100"/>
        <c:noMultiLvlLbl val="0"/>
      </c:catAx>
      <c:valAx>
        <c:axId val="1135431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Aantal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35430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nl-NL"/>
              <a:t>Cijfer per week (minimaal 7)</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tx>
            <c:v>Cijfer per week</c:v>
          </c:tx>
          <c:spPr>
            <a:ln w="28575" cap="rnd">
              <a:solidFill>
                <a:schemeClr val="accent1"/>
              </a:solidFill>
              <a:round/>
            </a:ln>
            <a:effectLst/>
          </c:spPr>
          <c:marker>
            <c:symbol val="none"/>
          </c:marker>
          <c:cat>
            <c:strRef>
              <c:f>'Weekly Dashboard'!$D$3:$AO$3</c:f>
              <c:strCache>
                <c:ptCount val="38"/>
                <c:pt idx="0">
                  <c:v>Week 15</c:v>
                </c:pt>
                <c:pt idx="1">
                  <c:v>Week 16</c:v>
                </c:pt>
                <c:pt idx="2">
                  <c:v>Week 17</c:v>
                </c:pt>
                <c:pt idx="3">
                  <c:v>Week 18</c:v>
                </c:pt>
                <c:pt idx="4">
                  <c:v>Week 19</c:v>
                </c:pt>
                <c:pt idx="5">
                  <c:v>Week 20</c:v>
                </c:pt>
                <c:pt idx="6">
                  <c:v>Week 21</c:v>
                </c:pt>
                <c:pt idx="7">
                  <c:v>Week 22</c:v>
                </c:pt>
                <c:pt idx="8">
                  <c:v>Week 23</c:v>
                </c:pt>
                <c:pt idx="9">
                  <c:v>Week 24</c:v>
                </c:pt>
                <c:pt idx="10">
                  <c:v>Week 25</c:v>
                </c:pt>
                <c:pt idx="11">
                  <c:v>Week 26</c:v>
                </c:pt>
                <c:pt idx="12">
                  <c:v>Week 27</c:v>
                </c:pt>
                <c:pt idx="13">
                  <c:v>Week 28</c:v>
                </c:pt>
                <c:pt idx="14">
                  <c:v>Week 29</c:v>
                </c:pt>
                <c:pt idx="15">
                  <c:v>Week 30</c:v>
                </c:pt>
                <c:pt idx="16">
                  <c:v>Week 31</c:v>
                </c:pt>
                <c:pt idx="17">
                  <c:v>Week 32</c:v>
                </c:pt>
                <c:pt idx="18">
                  <c:v>Week 33</c:v>
                </c:pt>
                <c:pt idx="19">
                  <c:v>Week 34</c:v>
                </c:pt>
                <c:pt idx="20">
                  <c:v>Week 35</c:v>
                </c:pt>
                <c:pt idx="21">
                  <c:v>Week 36</c:v>
                </c:pt>
                <c:pt idx="22">
                  <c:v>Week 37</c:v>
                </c:pt>
                <c:pt idx="23">
                  <c:v>Week 38</c:v>
                </c:pt>
                <c:pt idx="24">
                  <c:v>Week 39</c:v>
                </c:pt>
                <c:pt idx="25">
                  <c:v>Week 40</c:v>
                </c:pt>
                <c:pt idx="26">
                  <c:v>Week 41</c:v>
                </c:pt>
                <c:pt idx="27">
                  <c:v>Week 42</c:v>
                </c:pt>
                <c:pt idx="28">
                  <c:v>Week 43</c:v>
                </c:pt>
                <c:pt idx="29">
                  <c:v>Week 44</c:v>
                </c:pt>
                <c:pt idx="30">
                  <c:v>Week 45</c:v>
                </c:pt>
                <c:pt idx="31">
                  <c:v>Week 46</c:v>
                </c:pt>
                <c:pt idx="32">
                  <c:v>Week 47</c:v>
                </c:pt>
                <c:pt idx="33">
                  <c:v>Week 48</c:v>
                </c:pt>
                <c:pt idx="34">
                  <c:v>Week 49</c:v>
                </c:pt>
                <c:pt idx="35">
                  <c:v>Week 50</c:v>
                </c:pt>
                <c:pt idx="36">
                  <c:v>Week 51</c:v>
                </c:pt>
                <c:pt idx="37">
                  <c:v>Week 52</c:v>
                </c:pt>
              </c:strCache>
            </c:strRef>
          </c:cat>
          <c:val>
            <c:numRef>
              <c:f>'Weekly Dashboard'!$D$18:$AO$18</c:f>
              <c:numCache>
                <c:formatCode>#,##0</c:formatCode>
                <c:ptCount val="38"/>
                <c:pt idx="2" formatCode="#,##0.00">
                  <c:v>7.3</c:v>
                </c:pt>
                <c:pt idx="3" formatCode="#,##0.00">
                  <c:v>7.3</c:v>
                </c:pt>
                <c:pt idx="4" formatCode="#,##0.00">
                  <c:v>7.25</c:v>
                </c:pt>
                <c:pt idx="5" formatCode="#,##0.00">
                  <c:v>7.33</c:v>
                </c:pt>
                <c:pt idx="6" formatCode="#,##0.00">
                  <c:v>7.27</c:v>
                </c:pt>
                <c:pt idx="7" formatCode="#,##0.00">
                  <c:v>7.23</c:v>
                </c:pt>
                <c:pt idx="8" formatCode="#,##0.00">
                  <c:v>7.25</c:v>
                </c:pt>
                <c:pt idx="9" formatCode="#,##0.00">
                  <c:v>8.25</c:v>
                </c:pt>
                <c:pt idx="10">
                  <c:v>7.37</c:v>
                </c:pt>
                <c:pt idx="11" formatCode="#,##0.00">
                  <c:v>7.25</c:v>
                </c:pt>
                <c:pt idx="12" formatCode="#,##0.00">
                  <c:v>6.55</c:v>
                </c:pt>
                <c:pt idx="13" formatCode="#,##0.00">
                  <c:v>6.92</c:v>
                </c:pt>
                <c:pt idx="14" formatCode="#,##0.00">
                  <c:v>7</c:v>
                </c:pt>
                <c:pt idx="15" formatCode="#,##0.00">
                  <c:v>7.21</c:v>
                </c:pt>
                <c:pt idx="16" formatCode="#,##0.00">
                  <c:v>6.65</c:v>
                </c:pt>
                <c:pt idx="17" formatCode="#,##0.00">
                  <c:v>7</c:v>
                </c:pt>
                <c:pt idx="18" formatCode="#,##0.00">
                  <c:v>6.37</c:v>
                </c:pt>
                <c:pt idx="19" formatCode="#,##0.00">
                  <c:v>7.16</c:v>
                </c:pt>
                <c:pt idx="20" formatCode="#,##0.00">
                  <c:v>7.11</c:v>
                </c:pt>
                <c:pt idx="21" formatCode="#,##0.00">
                  <c:v>7.05</c:v>
                </c:pt>
                <c:pt idx="22" formatCode="#,##0.00">
                  <c:v>6.84</c:v>
                </c:pt>
                <c:pt idx="23" formatCode="#,##0.00">
                  <c:v>6.6</c:v>
                </c:pt>
              </c:numCache>
            </c:numRef>
          </c:val>
          <c:smooth val="0"/>
          <c:extLst>
            <c:ext xmlns:c16="http://schemas.microsoft.com/office/drawing/2014/chart" uri="{C3380CC4-5D6E-409C-BE32-E72D297353CC}">
              <c16:uniqueId val="{00000000-F950-486E-9EF8-5D2F50F74205}"/>
            </c:ext>
          </c:extLst>
        </c:ser>
        <c:dLbls>
          <c:showLegendKey val="0"/>
          <c:showVal val="0"/>
          <c:showCatName val="0"/>
          <c:showSerName val="0"/>
          <c:showPercent val="0"/>
          <c:showBubbleSize val="0"/>
        </c:dLbls>
        <c:smooth val="0"/>
        <c:axId val="1140692416"/>
        <c:axId val="1140691712"/>
      </c:lineChart>
      <c:catAx>
        <c:axId val="1140692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Weken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40691712"/>
        <c:crosses val="autoZero"/>
        <c:auto val="1"/>
        <c:lblAlgn val="ctr"/>
        <c:lblOffset val="100"/>
        <c:noMultiLvlLbl val="0"/>
      </c:catAx>
      <c:valAx>
        <c:axId val="1140691712"/>
        <c:scaling>
          <c:orientation val="minMax"/>
          <c:max val="10"/>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Cijfer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140692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66674</xdr:colOff>
      <xdr:row>5</xdr:row>
      <xdr:rowOff>50800</xdr:rowOff>
    </xdr:from>
    <xdr:to>
      <xdr:col>11</xdr:col>
      <xdr:colOff>25399</xdr:colOff>
      <xdr:row>30</xdr:row>
      <xdr:rowOff>31750</xdr:rowOff>
    </xdr:to>
    <xdr:graphicFrame macro="">
      <xdr:nvGraphicFramePr>
        <xdr:cNvPr id="2" name="Grafiek 1">
          <a:extLst>
            <a:ext uri="{FF2B5EF4-FFF2-40B4-BE49-F238E27FC236}">
              <a16:creationId xmlns:a16="http://schemas.microsoft.com/office/drawing/2014/main" id="{F22697BE-7E01-C20C-8777-23A6C87A8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171450</xdr:colOff>
      <xdr:row>5</xdr:row>
      <xdr:rowOff>76200</xdr:rowOff>
    </xdr:from>
    <xdr:to>
      <xdr:col>25</xdr:col>
      <xdr:colOff>127000</xdr:colOff>
      <xdr:row>30</xdr:row>
      <xdr:rowOff>50800</xdr:rowOff>
    </xdr:to>
    <xdr:graphicFrame macro="">
      <xdr:nvGraphicFramePr>
        <xdr:cNvPr id="8" name="Chart 1">
          <a:extLst>
            <a:ext uri="{FF2B5EF4-FFF2-40B4-BE49-F238E27FC236}">
              <a16:creationId xmlns:a16="http://schemas.microsoft.com/office/drawing/2014/main" id="{052FE2BD-1039-4C1B-933F-22C2C11EC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0</xdr:rowOff>
    </xdr:from>
    <xdr:to>
      <xdr:col>11</xdr:col>
      <xdr:colOff>12700</xdr:colOff>
      <xdr:row>55</xdr:row>
      <xdr:rowOff>69850</xdr:rowOff>
    </xdr:to>
    <xdr:graphicFrame macro="">
      <xdr:nvGraphicFramePr>
        <xdr:cNvPr id="19" name="Chart 2">
          <a:extLst>
            <a:ext uri="{FF2B5EF4-FFF2-40B4-BE49-F238E27FC236}">
              <a16:creationId xmlns:a16="http://schemas.microsoft.com/office/drawing/2014/main" id="{B066BB70-5489-4DE7-81EF-C486F8DDF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209550</xdr:colOff>
      <xdr:row>32</xdr:row>
      <xdr:rowOff>0</xdr:rowOff>
    </xdr:from>
    <xdr:to>
      <xdr:col>25</xdr:col>
      <xdr:colOff>76200</xdr:colOff>
      <xdr:row>55</xdr:row>
      <xdr:rowOff>69850</xdr:rowOff>
    </xdr:to>
    <xdr:graphicFrame macro="">
      <xdr:nvGraphicFramePr>
        <xdr:cNvPr id="21" name="Chart 3">
          <a:extLst>
            <a:ext uri="{FF2B5EF4-FFF2-40B4-BE49-F238E27FC236}">
              <a16:creationId xmlns:a16="http://schemas.microsoft.com/office/drawing/2014/main" id="{1701DBAD-4D0E-422A-8AD7-C053B75C8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57</xdr:row>
      <xdr:rowOff>0</xdr:rowOff>
    </xdr:from>
    <xdr:to>
      <xdr:col>11</xdr:col>
      <xdr:colOff>6350</xdr:colOff>
      <xdr:row>88</xdr:row>
      <xdr:rowOff>133350</xdr:rowOff>
    </xdr:to>
    <xdr:graphicFrame macro="">
      <xdr:nvGraphicFramePr>
        <xdr:cNvPr id="22" name="Chart 4">
          <a:extLst>
            <a:ext uri="{FF2B5EF4-FFF2-40B4-BE49-F238E27FC236}">
              <a16:creationId xmlns:a16="http://schemas.microsoft.com/office/drawing/2014/main" id="{2E722031-7552-44C7-84CE-F6557B90A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hyperlink" Target="https://www.loom.com/share/bca7291251054e979268ebe603bd66e2?sid=e4147ef2-a0f2-4586-aa6f-50d85e26b310" TargetMode="External"/><Relationship Id="rId1" Type="http://schemas.openxmlformats.org/officeDocument/2006/relationships/hyperlink" Target="https://scaleupcompany.com/scaling-up-tools/face-too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C82B-5343-0240-A050-C56B0A338C06}">
  <dimension ref="A3:O44"/>
  <sheetViews>
    <sheetView workbookViewId="0">
      <selection activeCell="B44" sqref="B44"/>
    </sheetView>
  </sheetViews>
  <sheetFormatPr defaultColWidth="10.85546875" defaultRowHeight="12.95"/>
  <cols>
    <col min="1" max="1" width="42.85546875" style="14" customWidth="1"/>
    <col min="2" max="2" width="24.85546875" style="14" customWidth="1"/>
    <col min="3" max="3" width="21.85546875" style="14" customWidth="1"/>
    <col min="4" max="16384" width="10.85546875" style="14"/>
  </cols>
  <sheetData>
    <row r="3" spans="1:15" ht="23.1">
      <c r="A3" s="21" t="s">
        <v>0</v>
      </c>
    </row>
    <row r="6" spans="1:15" ht="20.100000000000001">
      <c r="A6" s="22" t="s">
        <v>1</v>
      </c>
      <c r="O6" s="53" t="s">
        <v>2</v>
      </c>
    </row>
    <row r="8" spans="1:15" ht="20.100000000000001">
      <c r="A8" s="22" t="s">
        <v>3</v>
      </c>
    </row>
    <row r="10" spans="1:15" ht="20.100000000000001">
      <c r="A10" s="22" t="s">
        <v>4</v>
      </c>
      <c r="O10" s="53" t="s">
        <v>5</v>
      </c>
    </row>
    <row r="11" spans="1:15" ht="20.100000000000001">
      <c r="A11" s="22" t="s">
        <v>6</v>
      </c>
    </row>
    <row r="12" spans="1:15" ht="20.100000000000001">
      <c r="A12" s="22" t="s">
        <v>7</v>
      </c>
    </row>
    <row r="13" spans="1:15" ht="20.100000000000001">
      <c r="A13" s="22" t="s">
        <v>8</v>
      </c>
    </row>
    <row r="14" spans="1:15" ht="20.100000000000001">
      <c r="A14" s="22" t="s">
        <v>9</v>
      </c>
    </row>
    <row r="15" spans="1:15" ht="20.100000000000001">
      <c r="A15" s="22" t="s">
        <v>10</v>
      </c>
    </row>
    <row r="16" spans="1:15" ht="20.100000000000001">
      <c r="A16" s="22" t="s">
        <v>11</v>
      </c>
    </row>
    <row r="17" spans="1:5" ht="20.100000000000001">
      <c r="A17" s="22" t="s">
        <v>12</v>
      </c>
    </row>
    <row r="18" spans="1:5" ht="20.100000000000001">
      <c r="A18" s="22" t="s">
        <v>13</v>
      </c>
    </row>
    <row r="19" spans="1:5" ht="20.100000000000001">
      <c r="A19" s="22" t="s">
        <v>14</v>
      </c>
    </row>
    <row r="20" spans="1:5" ht="20.100000000000001">
      <c r="A20" s="22" t="s">
        <v>15</v>
      </c>
    </row>
    <row r="21" spans="1:5" ht="20.100000000000001">
      <c r="A21" s="22" t="s">
        <v>16</v>
      </c>
    </row>
    <row r="22" spans="1:5" ht="20.100000000000001">
      <c r="A22" s="22" t="s">
        <v>17</v>
      </c>
    </row>
    <row r="25" spans="1:5" s="25" customFormat="1" ht="51">
      <c r="B25" s="23" t="s">
        <v>18</v>
      </c>
      <c r="C25" s="26" t="s">
        <v>19</v>
      </c>
      <c r="D25" s="54" t="s">
        <v>20</v>
      </c>
      <c r="E25" s="27" t="s">
        <v>21</v>
      </c>
    </row>
    <row r="26" spans="1:5" s="27" customFormat="1" ht="26.25" customHeight="1">
      <c r="A26" s="28" t="s">
        <v>22</v>
      </c>
      <c r="B26" s="28" t="s">
        <v>23</v>
      </c>
      <c r="C26" s="29">
        <v>1.2</v>
      </c>
    </row>
    <row r="27" spans="1:5" s="27" customFormat="1" ht="26.25" customHeight="1">
      <c r="A27" s="30" t="s">
        <v>24</v>
      </c>
      <c r="B27" s="30" t="s">
        <v>23</v>
      </c>
      <c r="C27" s="31">
        <v>1</v>
      </c>
    </row>
    <row r="28" spans="1:5" s="27" customFormat="1" ht="26.25" customHeight="1">
      <c r="A28" s="32" t="s">
        <v>25</v>
      </c>
      <c r="B28" s="32" t="s">
        <v>23</v>
      </c>
      <c r="C28" s="33">
        <v>0.8</v>
      </c>
    </row>
    <row r="29" spans="1:5" s="27" customFormat="1" ht="26.25" customHeight="1">
      <c r="A29" s="34" t="s">
        <v>26</v>
      </c>
      <c r="B29" s="34" t="s">
        <v>27</v>
      </c>
      <c r="C29" s="35">
        <v>0.8</v>
      </c>
    </row>
    <row r="34" spans="1:2" ht="20.100000000000001">
      <c r="A34" s="24" t="s">
        <v>28</v>
      </c>
    </row>
    <row r="35" spans="1:2" ht="20.100000000000001">
      <c r="A35" s="22" t="s">
        <v>29</v>
      </c>
    </row>
    <row r="36" spans="1:2">
      <c r="A36" s="13"/>
    </row>
    <row r="38" spans="1:2">
      <c r="B38" s="13" t="s">
        <v>30</v>
      </c>
    </row>
    <row r="39" spans="1:2">
      <c r="A39" s="61" t="s">
        <v>31</v>
      </c>
      <c r="B39" s="62">
        <v>4</v>
      </c>
    </row>
    <row r="40" spans="1:2">
      <c r="A40" s="61" t="s">
        <v>32</v>
      </c>
      <c r="B40" s="62">
        <v>8</v>
      </c>
    </row>
    <row r="41" spans="1:2">
      <c r="A41" s="61" t="s">
        <v>33</v>
      </c>
      <c r="B41" s="62">
        <v>1</v>
      </c>
    </row>
    <row r="42" spans="1:2">
      <c r="A42" s="61" t="s">
        <v>34</v>
      </c>
      <c r="B42" s="62">
        <v>0.33</v>
      </c>
    </row>
    <row r="43" spans="1:2">
      <c r="A43" s="61" t="s">
        <v>35</v>
      </c>
      <c r="B43" s="62">
        <v>0.33</v>
      </c>
    </row>
    <row r="44" spans="1:2">
      <c r="A44" s="61" t="s">
        <v>36</v>
      </c>
      <c r="B44" s="62"/>
    </row>
  </sheetData>
  <hyperlinks>
    <hyperlink ref="O10" r:id="rId1" display="* Meer over de FACe tool" xr:uid="{E2824E28-DBC7-9C47-BD2F-3BC695A37209}"/>
    <hyperlink ref="O6" r:id="rId2" display="KLIK HIER VOOR EEN KORTE INSTRUCTIEFILMPJE" xr:uid="{1D92F08A-08E9-DA46-BFEA-C4DC2AE07C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D6678-3611-FA4E-B08B-C872D15516F0}">
  <dimension ref="A1:AQ284"/>
  <sheetViews>
    <sheetView tabSelected="1" workbookViewId="0">
      <pane xSplit="2" ySplit="4" topLeftCell="X5" activePane="bottomRight" state="frozen"/>
      <selection pane="bottomRight" activeCell="AA10" sqref="AA10"/>
      <selection pane="bottomLeft" activeCell="A4" sqref="A4"/>
      <selection pane="topRight" activeCell="C1" sqref="C1"/>
    </sheetView>
  </sheetViews>
  <sheetFormatPr defaultColWidth="11.42578125" defaultRowHeight="12.95"/>
  <cols>
    <col min="1" max="1" width="55.42578125" style="98" bestFit="1" customWidth="1"/>
    <col min="2" max="2" width="20.85546875" style="98" bestFit="1" customWidth="1"/>
    <col min="3" max="40" width="15.85546875" style="85" customWidth="1"/>
    <col min="41" max="41" width="12.140625" style="85" customWidth="1"/>
    <col min="42" max="43" width="14.42578125" style="85" customWidth="1"/>
    <col min="44" max="16384" width="11.42578125" style="57"/>
  </cols>
  <sheetData>
    <row r="1" spans="1:43" s="55" customFormat="1" ht="21" customHeight="1">
      <c r="A1" s="86" t="s">
        <v>37</v>
      </c>
      <c r="B1" s="86">
        <v>2026</v>
      </c>
      <c r="C1" s="58">
        <v>2026</v>
      </c>
      <c r="D1" s="58">
        <v>2026</v>
      </c>
      <c r="E1" s="58">
        <v>2026</v>
      </c>
      <c r="F1" s="58">
        <v>2026</v>
      </c>
      <c r="G1" s="58">
        <v>2026</v>
      </c>
      <c r="H1" s="58">
        <v>2026</v>
      </c>
      <c r="I1" s="58">
        <v>2026</v>
      </c>
      <c r="J1" s="58">
        <v>2026</v>
      </c>
      <c r="K1" s="58">
        <v>2026</v>
      </c>
      <c r="L1" s="58">
        <v>2026</v>
      </c>
      <c r="M1" s="58">
        <v>2026</v>
      </c>
      <c r="N1" s="58">
        <v>2026</v>
      </c>
      <c r="O1" s="58">
        <v>2026</v>
      </c>
      <c r="P1" s="58">
        <v>2026</v>
      </c>
      <c r="Q1" s="58">
        <v>2026</v>
      </c>
      <c r="R1" s="58">
        <v>2026</v>
      </c>
      <c r="S1" s="58">
        <v>2026</v>
      </c>
      <c r="T1" s="58">
        <v>2026</v>
      </c>
      <c r="U1" s="58">
        <v>2026</v>
      </c>
      <c r="V1" s="58">
        <v>2026</v>
      </c>
      <c r="W1" s="58">
        <v>2026</v>
      </c>
      <c r="X1" s="58">
        <v>2026</v>
      </c>
      <c r="Y1" s="58">
        <v>2026</v>
      </c>
      <c r="Z1" s="58">
        <v>2026</v>
      </c>
      <c r="AA1" s="58">
        <v>2026</v>
      </c>
      <c r="AB1" s="58">
        <v>2026</v>
      </c>
      <c r="AC1" s="58">
        <v>2026</v>
      </c>
      <c r="AD1" s="58">
        <v>2026</v>
      </c>
      <c r="AE1" s="58">
        <v>2026</v>
      </c>
      <c r="AF1" s="58">
        <v>2026</v>
      </c>
      <c r="AG1" s="58">
        <v>2026</v>
      </c>
      <c r="AH1" s="58">
        <v>2026</v>
      </c>
      <c r="AI1" s="58">
        <v>2026</v>
      </c>
      <c r="AJ1" s="58">
        <v>2026</v>
      </c>
      <c r="AK1" s="58">
        <v>2026</v>
      </c>
      <c r="AL1" s="58">
        <v>2026</v>
      </c>
      <c r="AM1" s="58">
        <v>2026</v>
      </c>
      <c r="AN1" s="58">
        <v>2026</v>
      </c>
      <c r="AO1" s="58">
        <v>2026</v>
      </c>
      <c r="AP1" s="58">
        <v>2026</v>
      </c>
      <c r="AQ1" s="58">
        <v>2026</v>
      </c>
    </row>
    <row r="2" spans="1:43" s="55" customFormat="1" ht="21" customHeight="1">
      <c r="A2" s="86" t="s">
        <v>38</v>
      </c>
      <c r="B2" s="86" t="s">
        <v>39</v>
      </c>
      <c r="C2" s="58" t="s">
        <v>40</v>
      </c>
      <c r="D2" s="58" t="s">
        <v>40</v>
      </c>
      <c r="E2" s="58" t="s">
        <v>40</v>
      </c>
      <c r="F2" s="58" t="s">
        <v>41</v>
      </c>
      <c r="G2" s="58" t="s">
        <v>41</v>
      </c>
      <c r="H2" s="58" t="s">
        <v>41</v>
      </c>
      <c r="I2" s="58" t="s">
        <v>41</v>
      </c>
      <c r="J2" s="58" t="s">
        <v>42</v>
      </c>
      <c r="K2" s="58" t="s">
        <v>42</v>
      </c>
      <c r="L2" s="58" t="s">
        <v>42</v>
      </c>
      <c r="M2" s="58" t="s">
        <v>42</v>
      </c>
      <c r="N2" s="58" t="s">
        <v>43</v>
      </c>
      <c r="O2" s="58" t="s">
        <v>43</v>
      </c>
      <c r="P2" s="58" t="s">
        <v>43</v>
      </c>
      <c r="Q2" s="58" t="s">
        <v>43</v>
      </c>
      <c r="R2" s="58" t="s">
        <v>44</v>
      </c>
      <c r="S2" s="58" t="s">
        <v>44</v>
      </c>
      <c r="T2" s="58" t="s">
        <v>44</v>
      </c>
      <c r="U2" s="58" t="s">
        <v>44</v>
      </c>
      <c r="V2" s="58" t="s">
        <v>45</v>
      </c>
      <c r="W2" s="58" t="s">
        <v>45</v>
      </c>
      <c r="X2" s="58" t="s">
        <v>45</v>
      </c>
      <c r="Y2" s="58" t="s">
        <v>45</v>
      </c>
      <c r="Z2" s="58" t="s">
        <v>46</v>
      </c>
      <c r="AA2" s="58" t="s">
        <v>46</v>
      </c>
      <c r="AB2" s="58" t="s">
        <v>46</v>
      </c>
      <c r="AC2" s="58" t="s">
        <v>46</v>
      </c>
      <c r="AD2" s="58" t="s">
        <v>47</v>
      </c>
      <c r="AE2" s="58" t="s">
        <v>47</v>
      </c>
      <c r="AF2" s="58" t="s">
        <v>47</v>
      </c>
      <c r="AG2" s="58" t="s">
        <v>47</v>
      </c>
      <c r="AH2" s="58" t="s">
        <v>48</v>
      </c>
      <c r="AI2" s="58" t="s">
        <v>48</v>
      </c>
      <c r="AJ2" s="58" t="s">
        <v>48</v>
      </c>
      <c r="AK2" s="58" t="s">
        <v>48</v>
      </c>
      <c r="AL2" s="58" t="s">
        <v>49</v>
      </c>
      <c r="AM2" s="58" t="s">
        <v>49</v>
      </c>
      <c r="AN2" s="58" t="s">
        <v>49</v>
      </c>
      <c r="AO2" s="58" t="s">
        <v>49</v>
      </c>
      <c r="AP2" s="59" t="s">
        <v>50</v>
      </c>
      <c r="AQ2" s="59" t="s">
        <v>50</v>
      </c>
    </row>
    <row r="3" spans="1:43" s="55" customFormat="1" ht="21" customHeight="1">
      <c r="A3" s="86" t="s">
        <v>51</v>
      </c>
      <c r="B3" s="86">
        <v>14</v>
      </c>
      <c r="C3" s="58" t="s">
        <v>52</v>
      </c>
      <c r="D3" s="58" t="s">
        <v>53</v>
      </c>
      <c r="E3" s="58" t="s">
        <v>54</v>
      </c>
      <c r="F3" s="58" t="s">
        <v>55</v>
      </c>
      <c r="G3" s="58" t="s">
        <v>56</v>
      </c>
      <c r="H3" s="58" t="s">
        <v>57</v>
      </c>
      <c r="I3" s="58" t="s">
        <v>58</v>
      </c>
      <c r="J3" s="58" t="s">
        <v>59</v>
      </c>
      <c r="K3" s="58" t="s">
        <v>60</v>
      </c>
      <c r="L3" s="58" t="s">
        <v>61</v>
      </c>
      <c r="M3" s="58" t="s">
        <v>62</v>
      </c>
      <c r="N3" s="58" t="s">
        <v>63</v>
      </c>
      <c r="O3" s="58" t="s">
        <v>64</v>
      </c>
      <c r="P3" s="58" t="s">
        <v>65</v>
      </c>
      <c r="Q3" s="58" t="s">
        <v>66</v>
      </c>
      <c r="R3" s="58" t="s">
        <v>67</v>
      </c>
      <c r="S3" s="58" t="s">
        <v>68</v>
      </c>
      <c r="T3" s="58" t="s">
        <v>69</v>
      </c>
      <c r="U3" s="58" t="s">
        <v>70</v>
      </c>
      <c r="V3" s="58" t="s">
        <v>71</v>
      </c>
      <c r="W3" s="58" t="s">
        <v>72</v>
      </c>
      <c r="X3" s="58" t="s">
        <v>73</v>
      </c>
      <c r="Y3" s="58" t="s">
        <v>74</v>
      </c>
      <c r="Z3" s="58" t="s">
        <v>75</v>
      </c>
      <c r="AA3" s="58" t="s">
        <v>76</v>
      </c>
      <c r="AB3" s="58" t="s">
        <v>77</v>
      </c>
      <c r="AC3" s="58" t="s">
        <v>78</v>
      </c>
      <c r="AD3" s="58" t="s">
        <v>79</v>
      </c>
      <c r="AE3" s="58" t="s">
        <v>80</v>
      </c>
      <c r="AF3" s="58" t="s">
        <v>81</v>
      </c>
      <c r="AG3" s="58" t="s">
        <v>82</v>
      </c>
      <c r="AH3" s="58" t="s">
        <v>83</v>
      </c>
      <c r="AI3" s="58" t="s">
        <v>84</v>
      </c>
      <c r="AJ3" s="58" t="s">
        <v>85</v>
      </c>
      <c r="AK3" s="58" t="s">
        <v>86</v>
      </c>
      <c r="AL3" s="58" t="s">
        <v>87</v>
      </c>
      <c r="AM3" s="58" t="s">
        <v>88</v>
      </c>
      <c r="AN3" s="58" t="s">
        <v>89</v>
      </c>
      <c r="AO3" s="58" t="s">
        <v>90</v>
      </c>
      <c r="AP3" s="59" t="s">
        <v>91</v>
      </c>
      <c r="AQ3" s="59" t="s">
        <v>92</v>
      </c>
    </row>
    <row r="4" spans="1:43" s="56" customFormat="1" ht="21" customHeight="1">
      <c r="A4" s="66"/>
      <c r="B4" s="87"/>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6" t="s">
        <v>93</v>
      </c>
      <c r="AQ4" s="66"/>
    </row>
    <row r="5" spans="1:43" s="56" customFormat="1" ht="21" customHeight="1">
      <c r="A5" s="88" t="s">
        <v>94</v>
      </c>
      <c r="B5" s="88" t="s">
        <v>91</v>
      </c>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6" t="s">
        <v>93</v>
      </c>
      <c r="AQ5" s="66"/>
    </row>
    <row r="6" spans="1:43" s="60" customFormat="1" ht="21" customHeight="1">
      <c r="A6" s="89" t="s">
        <v>95</v>
      </c>
      <c r="B6" s="89">
        <v>0.9</v>
      </c>
      <c r="C6" s="68"/>
      <c r="D6" s="68"/>
      <c r="E6" s="171">
        <v>0.93799999999999994</v>
      </c>
      <c r="F6" s="171">
        <v>1</v>
      </c>
      <c r="G6" s="176">
        <v>1</v>
      </c>
      <c r="H6" s="171">
        <v>0.97</v>
      </c>
      <c r="I6" s="171">
        <v>1</v>
      </c>
      <c r="J6" s="171">
        <v>1</v>
      </c>
      <c r="K6" s="171">
        <v>1</v>
      </c>
      <c r="L6" s="171">
        <v>1</v>
      </c>
      <c r="M6" s="196">
        <v>1</v>
      </c>
      <c r="N6" s="171">
        <v>1</v>
      </c>
      <c r="O6" s="171">
        <v>1</v>
      </c>
      <c r="P6" s="202">
        <v>0.92310000000000003</v>
      </c>
      <c r="Q6" s="206">
        <v>0.98780000000000001</v>
      </c>
      <c r="R6" s="206">
        <v>0.96879999999999999</v>
      </c>
      <c r="S6" s="206">
        <v>0.9677</v>
      </c>
      <c r="T6" s="206">
        <v>0.96430000000000005</v>
      </c>
      <c r="U6" s="171">
        <v>1</v>
      </c>
      <c r="V6" s="171">
        <v>1</v>
      </c>
      <c r="W6" s="202">
        <v>0.90629999999999999</v>
      </c>
      <c r="X6" s="171">
        <v>0.95</v>
      </c>
      <c r="Y6" s="213">
        <v>0.86</v>
      </c>
      <c r="Z6" s="206">
        <v>0.93179999999999996</v>
      </c>
      <c r="AA6" s="206">
        <v>0.95350000000000001</v>
      </c>
      <c r="AB6" s="69"/>
      <c r="AC6" s="69"/>
      <c r="AD6" s="69"/>
      <c r="AE6" s="69"/>
      <c r="AF6" s="69"/>
      <c r="AG6" s="69"/>
      <c r="AH6" s="69"/>
      <c r="AI6" s="69"/>
      <c r="AJ6" s="69"/>
      <c r="AK6" s="69"/>
      <c r="AL6" s="69"/>
      <c r="AM6" s="69"/>
      <c r="AN6" s="69"/>
      <c r="AO6" s="69"/>
      <c r="AP6" s="70" t="s">
        <v>93</v>
      </c>
      <c r="AQ6" s="70"/>
    </row>
    <row r="7" spans="1:43" s="189" customFormat="1" ht="21" customHeight="1">
      <c r="A7" s="61" t="s">
        <v>96</v>
      </c>
      <c r="B7" s="184">
        <v>45</v>
      </c>
      <c r="C7" s="185"/>
      <c r="D7" s="185"/>
      <c r="E7" s="186"/>
      <c r="F7" s="186"/>
      <c r="G7" s="187"/>
      <c r="H7" s="186"/>
      <c r="I7" s="186"/>
      <c r="J7" s="186"/>
      <c r="K7" s="186">
        <v>32</v>
      </c>
      <c r="L7" s="186">
        <v>44</v>
      </c>
      <c r="M7" s="186">
        <v>43</v>
      </c>
      <c r="N7" s="186">
        <v>40</v>
      </c>
      <c r="O7" s="186">
        <v>38</v>
      </c>
      <c r="P7" s="203">
        <v>35.5</v>
      </c>
      <c r="Q7" s="203">
        <v>40.5</v>
      </c>
      <c r="R7" s="208">
        <v>31</v>
      </c>
      <c r="S7" s="208">
        <v>30</v>
      </c>
      <c r="T7" s="208">
        <v>27</v>
      </c>
      <c r="U7" s="208">
        <v>28</v>
      </c>
      <c r="V7" s="208">
        <v>24</v>
      </c>
      <c r="W7" s="208">
        <v>29</v>
      </c>
      <c r="X7" s="203">
        <v>38</v>
      </c>
      <c r="Y7" s="208">
        <v>37</v>
      </c>
      <c r="Z7" s="208">
        <v>41</v>
      </c>
      <c r="AA7" s="208">
        <v>41</v>
      </c>
      <c r="AB7" s="185"/>
      <c r="AC7" s="185"/>
      <c r="AD7" s="185"/>
      <c r="AE7" s="185"/>
      <c r="AF7" s="185"/>
      <c r="AG7" s="185"/>
      <c r="AH7" s="185"/>
      <c r="AI7" s="185"/>
      <c r="AJ7" s="185"/>
      <c r="AK7" s="185"/>
      <c r="AL7" s="185"/>
      <c r="AM7" s="185"/>
      <c r="AN7" s="185"/>
      <c r="AO7" s="185"/>
      <c r="AP7" s="188"/>
      <c r="AQ7" s="188"/>
    </row>
    <row r="8" spans="1:43" s="56" customFormat="1" ht="21" customHeight="1">
      <c r="A8" s="90" t="s">
        <v>97</v>
      </c>
      <c r="B8" s="90">
        <v>1</v>
      </c>
      <c r="C8" s="71"/>
      <c r="D8" s="99">
        <v>8</v>
      </c>
      <c r="E8" s="99">
        <v>8</v>
      </c>
      <c r="F8" s="99">
        <v>2</v>
      </c>
      <c r="G8" s="99">
        <v>6</v>
      </c>
      <c r="H8" s="99">
        <v>3</v>
      </c>
      <c r="I8" s="172">
        <v>0</v>
      </c>
      <c r="J8" s="172">
        <v>0</v>
      </c>
      <c r="K8" s="99">
        <v>1</v>
      </c>
      <c r="L8" s="99">
        <v>1</v>
      </c>
      <c r="M8" s="172">
        <v>0</v>
      </c>
      <c r="N8" s="172">
        <v>0</v>
      </c>
      <c r="O8" s="172">
        <v>0</v>
      </c>
      <c r="P8" s="172">
        <v>0</v>
      </c>
      <c r="Q8" s="99">
        <v>8</v>
      </c>
      <c r="R8" s="99">
        <v>3</v>
      </c>
      <c r="S8" s="99">
        <v>1</v>
      </c>
      <c r="T8" s="172">
        <v>0</v>
      </c>
      <c r="U8" s="172">
        <v>0</v>
      </c>
      <c r="V8" s="99">
        <v>2</v>
      </c>
      <c r="W8" s="99">
        <v>3</v>
      </c>
      <c r="X8" s="172">
        <v>0</v>
      </c>
      <c r="Y8" s="172">
        <v>0</v>
      </c>
      <c r="Z8" s="99">
        <v>3</v>
      </c>
      <c r="AA8" s="99">
        <v>2</v>
      </c>
      <c r="AB8" s="71"/>
      <c r="AC8" s="71"/>
      <c r="AD8" s="71"/>
      <c r="AE8" s="71"/>
      <c r="AF8" s="71"/>
      <c r="AG8" s="71"/>
      <c r="AH8" s="71"/>
      <c r="AI8" s="71"/>
      <c r="AJ8" s="71"/>
      <c r="AK8" s="71"/>
      <c r="AL8" s="71"/>
      <c r="AM8" s="71"/>
      <c r="AN8" s="71"/>
      <c r="AO8" s="71"/>
      <c r="AP8" s="66" t="s">
        <v>93</v>
      </c>
      <c r="AQ8" s="66"/>
    </row>
    <row r="9" spans="1:43" s="56" customFormat="1" ht="21" customHeight="1">
      <c r="A9" s="90" t="s">
        <v>98</v>
      </c>
      <c r="B9" s="90"/>
      <c r="C9" s="71"/>
      <c r="D9" s="99">
        <f>D8</f>
        <v>8</v>
      </c>
      <c r="E9" s="99">
        <f t="shared" ref="E9:AO9" si="0">D9+E$8</f>
        <v>16</v>
      </c>
      <c r="F9" s="99">
        <f t="shared" si="0"/>
        <v>18</v>
      </c>
      <c r="G9" s="99">
        <f t="shared" si="0"/>
        <v>24</v>
      </c>
      <c r="H9" s="99">
        <f t="shared" si="0"/>
        <v>27</v>
      </c>
      <c r="I9" s="172">
        <f t="shared" si="0"/>
        <v>27</v>
      </c>
      <c r="J9" s="172">
        <f t="shared" si="0"/>
        <v>27</v>
      </c>
      <c r="K9" s="99">
        <f t="shared" si="0"/>
        <v>28</v>
      </c>
      <c r="L9" s="99">
        <f t="shared" si="0"/>
        <v>29</v>
      </c>
      <c r="M9" s="172">
        <f t="shared" si="0"/>
        <v>29</v>
      </c>
      <c r="N9" s="172">
        <f t="shared" si="0"/>
        <v>29</v>
      </c>
      <c r="O9" s="172">
        <f t="shared" si="0"/>
        <v>29</v>
      </c>
      <c r="P9" s="71">
        <f t="shared" si="0"/>
        <v>29</v>
      </c>
      <c r="Q9" s="71">
        <f t="shared" si="0"/>
        <v>37</v>
      </c>
      <c r="R9" s="71">
        <f t="shared" si="0"/>
        <v>40</v>
      </c>
      <c r="S9" s="99">
        <f t="shared" si="0"/>
        <v>41</v>
      </c>
      <c r="T9" s="99">
        <f t="shared" si="0"/>
        <v>41</v>
      </c>
      <c r="U9" s="71">
        <f t="shared" si="0"/>
        <v>41</v>
      </c>
      <c r="V9" s="71">
        <f t="shared" si="0"/>
        <v>43</v>
      </c>
      <c r="W9" s="71">
        <f t="shared" si="0"/>
        <v>46</v>
      </c>
      <c r="X9" s="71">
        <f t="shared" si="0"/>
        <v>46</v>
      </c>
      <c r="Y9" s="71">
        <f t="shared" si="0"/>
        <v>46</v>
      </c>
      <c r="Z9" s="71">
        <f t="shared" si="0"/>
        <v>49</v>
      </c>
      <c r="AA9" s="71">
        <f t="shared" si="0"/>
        <v>51</v>
      </c>
      <c r="AB9" s="71">
        <f t="shared" si="0"/>
        <v>51</v>
      </c>
      <c r="AC9" s="71">
        <f t="shared" si="0"/>
        <v>51</v>
      </c>
      <c r="AD9" s="71">
        <f t="shared" si="0"/>
        <v>51</v>
      </c>
      <c r="AE9" s="71">
        <f t="shared" si="0"/>
        <v>51</v>
      </c>
      <c r="AF9" s="71">
        <f t="shared" si="0"/>
        <v>51</v>
      </c>
      <c r="AG9" s="71">
        <f t="shared" si="0"/>
        <v>51</v>
      </c>
      <c r="AH9" s="71">
        <f t="shared" si="0"/>
        <v>51</v>
      </c>
      <c r="AI9" s="71">
        <f t="shared" si="0"/>
        <v>51</v>
      </c>
      <c r="AJ9" s="71">
        <f t="shared" si="0"/>
        <v>51</v>
      </c>
      <c r="AK9" s="71">
        <f t="shared" si="0"/>
        <v>51</v>
      </c>
      <c r="AL9" s="71">
        <f t="shared" si="0"/>
        <v>51</v>
      </c>
      <c r="AM9" s="71">
        <f t="shared" si="0"/>
        <v>51</v>
      </c>
      <c r="AN9" s="71">
        <f t="shared" si="0"/>
        <v>51</v>
      </c>
      <c r="AO9" s="71">
        <f t="shared" si="0"/>
        <v>51</v>
      </c>
      <c r="AP9" s="66"/>
      <c r="AQ9" s="66"/>
    </row>
    <row r="10" spans="1:43" s="56" customFormat="1" ht="21" customHeight="1">
      <c r="A10" s="61" t="s">
        <v>99</v>
      </c>
      <c r="B10" s="90">
        <v>10</v>
      </c>
      <c r="C10" s="71"/>
      <c r="D10" s="71"/>
      <c r="E10" s="172">
        <v>6</v>
      </c>
      <c r="F10" s="99">
        <v>14</v>
      </c>
      <c r="G10" s="172">
        <v>6</v>
      </c>
      <c r="H10" s="99">
        <v>17</v>
      </c>
      <c r="I10" s="99">
        <v>13</v>
      </c>
      <c r="J10" s="183">
        <v>11</v>
      </c>
      <c r="K10" s="183">
        <v>10</v>
      </c>
      <c r="L10" s="99">
        <v>18</v>
      </c>
      <c r="M10" s="99">
        <v>21</v>
      </c>
      <c r="N10" s="172">
        <v>7</v>
      </c>
      <c r="O10" s="99">
        <v>12</v>
      </c>
      <c r="P10" s="99">
        <v>17</v>
      </c>
      <c r="Q10" s="99">
        <v>13</v>
      </c>
      <c r="R10" s="209">
        <v>5</v>
      </c>
      <c r="S10" s="99">
        <v>11</v>
      </c>
      <c r="T10" s="209">
        <v>8</v>
      </c>
      <c r="U10" s="209">
        <v>8</v>
      </c>
      <c r="V10" s="209">
        <v>7</v>
      </c>
      <c r="W10" s="183">
        <v>6</v>
      </c>
      <c r="X10" s="172">
        <v>8</v>
      </c>
      <c r="Y10" s="99">
        <v>14</v>
      </c>
      <c r="Z10" s="99">
        <v>10</v>
      </c>
      <c r="AA10" s="214">
        <v>16</v>
      </c>
      <c r="AB10" s="71"/>
      <c r="AC10" s="71"/>
      <c r="AD10" s="71"/>
      <c r="AE10" s="71"/>
      <c r="AF10" s="71"/>
      <c r="AG10" s="71"/>
      <c r="AH10" s="71"/>
      <c r="AI10" s="71"/>
      <c r="AJ10" s="71"/>
      <c r="AK10" s="71"/>
      <c r="AL10" s="71"/>
      <c r="AM10" s="71"/>
      <c r="AN10" s="71"/>
      <c r="AO10" s="71"/>
      <c r="AP10" s="66" t="s">
        <v>93</v>
      </c>
      <c r="AQ10" s="66"/>
    </row>
    <row r="11" spans="1:43" s="56" customFormat="1" ht="21" hidden="1" customHeight="1">
      <c r="A11" s="91" t="s">
        <v>100</v>
      </c>
      <c r="B11" s="88" t="s">
        <v>101</v>
      </c>
      <c r="C11" s="67"/>
      <c r="D11" s="67"/>
      <c r="E11" s="67"/>
      <c r="F11" s="67"/>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6" t="s">
        <v>93</v>
      </c>
      <c r="AQ11" s="66"/>
    </row>
    <row r="12" spans="1:43" s="56" customFormat="1" ht="21" hidden="1" customHeight="1">
      <c r="A12" s="61" t="s">
        <v>102</v>
      </c>
      <c r="B12" s="90" t="s">
        <v>103</v>
      </c>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66" t="s">
        <v>93</v>
      </c>
      <c r="AQ12" s="66"/>
    </row>
    <row r="13" spans="1:43" s="56" customFormat="1" ht="21" hidden="1" customHeight="1">
      <c r="A13" s="61" t="s">
        <v>104</v>
      </c>
      <c r="B13" s="90" t="s">
        <v>103</v>
      </c>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66" t="s">
        <v>93</v>
      </c>
      <c r="AQ13" s="66"/>
    </row>
    <row r="14" spans="1:43" s="56" customFormat="1" ht="21" hidden="1" customHeight="1">
      <c r="A14" s="92" t="s">
        <v>105</v>
      </c>
      <c r="B14" s="90" t="s">
        <v>103</v>
      </c>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66" t="s">
        <v>93</v>
      </c>
      <c r="AQ14" s="66"/>
    </row>
    <row r="15" spans="1:43" s="56" customFormat="1" ht="21" hidden="1" customHeight="1">
      <c r="A15" s="92" t="s">
        <v>106</v>
      </c>
      <c r="B15" s="90" t="s">
        <v>103</v>
      </c>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66" t="s">
        <v>93</v>
      </c>
      <c r="AQ15" s="66"/>
    </row>
    <row r="16" spans="1:43" s="56" customFormat="1" ht="21" customHeight="1">
      <c r="A16" s="56" t="s">
        <v>107</v>
      </c>
      <c r="B16" s="90"/>
      <c r="C16" s="71"/>
      <c r="D16" s="71"/>
      <c r="E16" s="71"/>
      <c r="F16" s="71"/>
      <c r="G16" s="71"/>
      <c r="H16" s="71"/>
      <c r="I16" s="71"/>
      <c r="J16" s="71"/>
      <c r="K16" s="71"/>
      <c r="L16" s="71"/>
      <c r="M16" s="71"/>
      <c r="N16" s="71"/>
      <c r="O16" s="71"/>
      <c r="P16" s="71"/>
      <c r="Q16" s="71"/>
      <c r="R16" s="183">
        <v>11</v>
      </c>
      <c r="S16" s="99">
        <v>20</v>
      </c>
      <c r="T16" s="172">
        <v>24</v>
      </c>
      <c r="U16" s="172">
        <v>26</v>
      </c>
      <c r="V16" s="172">
        <v>28</v>
      </c>
      <c r="W16" s="172">
        <v>33</v>
      </c>
      <c r="X16" s="172">
        <v>35</v>
      </c>
      <c r="Y16" s="172">
        <v>45</v>
      </c>
      <c r="Z16" s="172">
        <v>60</v>
      </c>
      <c r="AA16" s="172">
        <v>63</v>
      </c>
      <c r="AB16" s="71"/>
      <c r="AC16" s="71"/>
      <c r="AD16" s="71"/>
      <c r="AE16" s="71"/>
      <c r="AF16" s="71"/>
      <c r="AG16" s="71"/>
      <c r="AH16" s="71"/>
      <c r="AI16" s="71"/>
      <c r="AJ16" s="71"/>
      <c r="AK16" s="71"/>
      <c r="AL16" s="71"/>
      <c r="AM16" s="71"/>
      <c r="AN16" s="71"/>
      <c r="AO16" s="71"/>
      <c r="AP16" s="66"/>
      <c r="AQ16" s="66"/>
    </row>
    <row r="17" spans="1:43" s="56" customFormat="1" ht="21" customHeight="1">
      <c r="A17" s="93" t="s">
        <v>108</v>
      </c>
      <c r="B17" s="93" t="s">
        <v>101</v>
      </c>
      <c r="C17" s="67"/>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6" t="s">
        <v>93</v>
      </c>
      <c r="AQ17" s="66"/>
    </row>
    <row r="18" spans="1:43" s="56" customFormat="1" ht="21" customHeight="1">
      <c r="A18" s="61" t="s">
        <v>109</v>
      </c>
      <c r="B18" s="90">
        <v>7</v>
      </c>
      <c r="C18" s="71"/>
      <c r="D18" s="71"/>
      <c r="E18" s="71"/>
      <c r="F18" s="181">
        <v>7.3</v>
      </c>
      <c r="G18" s="181">
        <v>7.3</v>
      </c>
      <c r="H18" s="181">
        <v>7.25</v>
      </c>
      <c r="I18" s="181">
        <v>7.33</v>
      </c>
      <c r="J18" s="181">
        <v>7.27</v>
      </c>
      <c r="K18" s="181">
        <v>7.23</v>
      </c>
      <c r="L18" s="181">
        <v>7.25</v>
      </c>
      <c r="M18" s="181">
        <v>8.25</v>
      </c>
      <c r="N18" s="99">
        <v>7.37</v>
      </c>
      <c r="O18" s="181">
        <v>7.25</v>
      </c>
      <c r="P18" s="204">
        <v>6.55</v>
      </c>
      <c r="Q18" s="78">
        <v>6.92</v>
      </c>
      <c r="R18" s="78">
        <v>7</v>
      </c>
      <c r="S18" s="78">
        <v>7.21</v>
      </c>
      <c r="T18" s="78">
        <v>6.65</v>
      </c>
      <c r="U18" s="78">
        <v>7</v>
      </c>
      <c r="V18" s="211">
        <v>6.37</v>
      </c>
      <c r="W18" s="78">
        <v>7.16</v>
      </c>
      <c r="X18" s="78">
        <v>7.11</v>
      </c>
      <c r="Y18" s="78">
        <v>7.05</v>
      </c>
      <c r="Z18" s="78">
        <v>6.84</v>
      </c>
      <c r="AA18" s="78">
        <v>6.6</v>
      </c>
      <c r="AB18" s="78"/>
      <c r="AC18" s="78"/>
      <c r="AD18" s="78"/>
      <c r="AE18" s="78"/>
      <c r="AF18" s="78"/>
      <c r="AG18" s="78"/>
      <c r="AH18" s="78"/>
      <c r="AI18" s="78"/>
      <c r="AJ18" s="78"/>
      <c r="AK18" s="78"/>
      <c r="AL18" s="78"/>
      <c r="AM18" s="78"/>
      <c r="AN18" s="78"/>
      <c r="AO18" s="78"/>
      <c r="AP18" s="66" t="s">
        <v>93</v>
      </c>
      <c r="AQ18" s="66"/>
    </row>
    <row r="19" spans="1:43" s="56" customFormat="1" ht="21" hidden="1" customHeight="1">
      <c r="A19" s="93" t="s">
        <v>110</v>
      </c>
      <c r="B19" s="93" t="s">
        <v>111</v>
      </c>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6" t="s">
        <v>93</v>
      </c>
      <c r="AQ19" s="66"/>
    </row>
    <row r="20" spans="1:43" s="56" customFormat="1" ht="21" hidden="1" customHeight="1">
      <c r="A20" s="61" t="s">
        <v>112</v>
      </c>
      <c r="B20" s="90" t="s">
        <v>103</v>
      </c>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66" t="s">
        <v>93</v>
      </c>
      <c r="AQ20" s="66"/>
    </row>
    <row r="21" spans="1:43" s="56" customFormat="1" ht="21" hidden="1" customHeight="1">
      <c r="A21" s="61" t="s">
        <v>112</v>
      </c>
      <c r="B21" s="90" t="s">
        <v>103</v>
      </c>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66" t="s">
        <v>93</v>
      </c>
      <c r="AQ21" s="66"/>
    </row>
    <row r="22" spans="1:43" s="56" customFormat="1" ht="21" hidden="1" customHeight="1">
      <c r="A22" s="61" t="s">
        <v>112</v>
      </c>
      <c r="B22" s="90" t="s">
        <v>103</v>
      </c>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66" t="s">
        <v>93</v>
      </c>
      <c r="AQ22" s="66"/>
    </row>
    <row r="23" spans="1:43" s="56" customFormat="1" ht="21" customHeight="1">
      <c r="A23" s="93" t="s">
        <v>113</v>
      </c>
      <c r="B23" s="93" t="s">
        <v>101</v>
      </c>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6" t="s">
        <v>93</v>
      </c>
      <c r="AQ23" s="66"/>
    </row>
    <row r="24" spans="1:43" s="56" customFormat="1">
      <c r="A24" s="63" t="s">
        <v>114</v>
      </c>
      <c r="B24" s="64"/>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row>
    <row r="25" spans="1:43" s="56" customFormat="1">
      <c r="A25" s="61" t="s">
        <v>31</v>
      </c>
      <c r="B25" s="62" t="s">
        <v>115</v>
      </c>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row>
    <row r="26" spans="1:43" s="56" customFormat="1">
      <c r="A26" s="61" t="s">
        <v>32</v>
      </c>
      <c r="B26" s="62" t="s">
        <v>116</v>
      </c>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row>
    <row r="27" spans="1:43" s="56" customFormat="1">
      <c r="A27" s="61" t="s">
        <v>33</v>
      </c>
      <c r="B27" s="62" t="s">
        <v>117</v>
      </c>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row>
    <row r="28" spans="1:43" s="56" customFormat="1">
      <c r="A28" s="61" t="s">
        <v>34</v>
      </c>
      <c r="B28" s="62" t="s">
        <v>118</v>
      </c>
      <c r="C28" s="66"/>
      <c r="D28" s="66"/>
      <c r="E28" s="66"/>
      <c r="F28" s="66">
        <v>5</v>
      </c>
      <c r="G28" s="66">
        <v>5</v>
      </c>
      <c r="H28" s="66">
        <v>1</v>
      </c>
      <c r="I28" s="66">
        <v>1</v>
      </c>
      <c r="J28" s="66">
        <v>3</v>
      </c>
      <c r="K28" s="66">
        <v>3</v>
      </c>
      <c r="L28" s="66">
        <v>2</v>
      </c>
      <c r="M28" s="66">
        <v>2</v>
      </c>
      <c r="N28" s="66">
        <v>1</v>
      </c>
      <c r="O28" s="66">
        <v>2</v>
      </c>
      <c r="P28" s="66">
        <v>3</v>
      </c>
      <c r="Q28" s="66">
        <v>3</v>
      </c>
      <c r="R28" s="66">
        <v>3</v>
      </c>
      <c r="S28" s="66">
        <v>1</v>
      </c>
      <c r="T28" s="66">
        <v>1</v>
      </c>
      <c r="U28" s="66">
        <v>0</v>
      </c>
      <c r="V28" s="66">
        <v>2</v>
      </c>
      <c r="W28" s="66">
        <v>1</v>
      </c>
      <c r="X28" s="66">
        <v>3</v>
      </c>
      <c r="Y28" s="66">
        <v>1</v>
      </c>
      <c r="Z28" s="66">
        <v>2</v>
      </c>
      <c r="AA28" s="66">
        <v>1</v>
      </c>
      <c r="AB28" s="66"/>
      <c r="AC28" s="66"/>
      <c r="AD28" s="66"/>
      <c r="AE28" s="66"/>
      <c r="AF28" s="66"/>
      <c r="AG28" s="66"/>
      <c r="AH28" s="66"/>
      <c r="AI28" s="66"/>
      <c r="AJ28" s="66"/>
      <c r="AK28" s="66"/>
      <c r="AL28" s="66"/>
      <c r="AM28" s="66"/>
      <c r="AN28" s="66"/>
      <c r="AO28" s="66"/>
      <c r="AP28" s="66"/>
      <c r="AQ28" s="66"/>
    </row>
    <row r="29" spans="1:43" s="56" customFormat="1">
      <c r="A29" s="61" t="s">
        <v>35</v>
      </c>
      <c r="B29" s="62" t="s">
        <v>118</v>
      </c>
      <c r="C29" s="66"/>
      <c r="D29" s="66"/>
      <c r="E29" s="66"/>
      <c r="F29" s="66">
        <v>9</v>
      </c>
      <c r="G29" s="66">
        <v>5</v>
      </c>
      <c r="H29" s="66">
        <v>4</v>
      </c>
      <c r="I29" s="66">
        <v>4</v>
      </c>
      <c r="J29" s="66">
        <v>6</v>
      </c>
      <c r="K29" s="66">
        <v>1</v>
      </c>
      <c r="L29" s="66">
        <v>2</v>
      </c>
      <c r="M29" s="66">
        <v>5</v>
      </c>
      <c r="N29" s="66">
        <v>3</v>
      </c>
      <c r="O29" s="66">
        <v>1</v>
      </c>
      <c r="P29" s="66">
        <v>3</v>
      </c>
      <c r="Q29" s="66">
        <v>1</v>
      </c>
      <c r="R29" s="66">
        <v>4</v>
      </c>
      <c r="S29" s="66">
        <v>2</v>
      </c>
      <c r="T29" s="66">
        <v>0</v>
      </c>
      <c r="U29" s="66">
        <v>2</v>
      </c>
      <c r="V29" s="66">
        <v>0</v>
      </c>
      <c r="W29" s="66">
        <v>2</v>
      </c>
      <c r="X29" s="66">
        <v>3</v>
      </c>
      <c r="Y29" s="66">
        <v>2</v>
      </c>
      <c r="Z29" s="66">
        <v>0</v>
      </c>
      <c r="AA29" s="66"/>
      <c r="AB29" s="66"/>
      <c r="AC29" s="66"/>
      <c r="AD29" s="66"/>
      <c r="AE29" s="66"/>
      <c r="AF29" s="66"/>
      <c r="AG29" s="66"/>
      <c r="AH29" s="66"/>
      <c r="AI29" s="66"/>
      <c r="AJ29" s="66"/>
      <c r="AK29" s="66"/>
      <c r="AL29" s="66"/>
      <c r="AM29" s="66"/>
      <c r="AN29" s="66"/>
      <c r="AO29" s="66"/>
      <c r="AP29" s="66"/>
      <c r="AQ29" s="66"/>
    </row>
    <row r="30" spans="1:43" s="56" customFormat="1">
      <c r="A30" s="61" t="s">
        <v>36</v>
      </c>
      <c r="B30" s="62" t="s">
        <v>118</v>
      </c>
      <c r="C30" s="66"/>
      <c r="D30" s="66"/>
      <c r="E30" s="66"/>
      <c r="F30" s="66">
        <v>1</v>
      </c>
      <c r="G30" s="66">
        <v>1</v>
      </c>
      <c r="H30" s="66">
        <v>1</v>
      </c>
      <c r="I30" s="66"/>
      <c r="J30" s="66">
        <v>1</v>
      </c>
      <c r="K30" s="66">
        <v>3</v>
      </c>
      <c r="L30" s="66">
        <v>3</v>
      </c>
      <c r="M30" s="66">
        <v>0</v>
      </c>
      <c r="N30" s="66">
        <v>1</v>
      </c>
      <c r="O30" s="66">
        <v>1</v>
      </c>
      <c r="P30" s="66">
        <v>1</v>
      </c>
      <c r="Q30" s="66">
        <v>1</v>
      </c>
      <c r="R30" s="66">
        <v>2</v>
      </c>
      <c r="S30" s="66">
        <v>0</v>
      </c>
      <c r="T30" s="66">
        <v>1</v>
      </c>
      <c r="U30" s="66">
        <v>0</v>
      </c>
      <c r="V30" s="66">
        <v>0</v>
      </c>
      <c r="W30" s="66">
        <v>2</v>
      </c>
      <c r="X30" s="66">
        <v>0</v>
      </c>
      <c r="Y30" s="66">
        <v>1</v>
      </c>
      <c r="Z30" s="66">
        <v>1</v>
      </c>
      <c r="AA30" s="66">
        <v>1</v>
      </c>
      <c r="AB30" s="66"/>
      <c r="AC30" s="66"/>
      <c r="AD30" s="66"/>
      <c r="AE30" s="66"/>
      <c r="AF30" s="66"/>
      <c r="AG30" s="66"/>
      <c r="AH30" s="66"/>
      <c r="AI30" s="66"/>
      <c r="AJ30" s="66"/>
      <c r="AK30" s="66"/>
      <c r="AL30" s="66"/>
      <c r="AM30" s="66"/>
      <c r="AN30" s="66"/>
      <c r="AO30" s="66"/>
      <c r="AP30" s="66"/>
      <c r="AQ30" s="66"/>
    </row>
    <row r="31" spans="1:43" s="56" customFormat="1">
      <c r="A31" s="64" t="s">
        <v>119</v>
      </c>
      <c r="B31" s="64"/>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row>
    <row r="32" spans="1:43" s="56" customFormat="1">
      <c r="A32" s="61" t="s">
        <v>31</v>
      </c>
      <c r="B32" s="62" t="s">
        <v>115</v>
      </c>
      <c r="C32" s="66"/>
      <c r="D32" s="66"/>
      <c r="E32" s="66"/>
      <c r="F32" s="66"/>
      <c r="G32" s="66"/>
      <c r="H32" s="66">
        <v>5</v>
      </c>
      <c r="I32" s="66">
        <v>3</v>
      </c>
      <c r="J32" s="66">
        <v>5</v>
      </c>
      <c r="K32" s="195">
        <v>6</v>
      </c>
      <c r="L32" s="66">
        <v>5</v>
      </c>
      <c r="M32" s="66">
        <v>7</v>
      </c>
      <c r="N32" s="66">
        <v>12</v>
      </c>
      <c r="O32" s="66">
        <v>8</v>
      </c>
      <c r="P32" s="66">
        <v>6</v>
      </c>
      <c r="Q32" s="66">
        <v>6</v>
      </c>
      <c r="R32" s="66">
        <v>7</v>
      </c>
      <c r="S32" s="66">
        <v>6</v>
      </c>
      <c r="T32" s="66">
        <v>7</v>
      </c>
      <c r="U32" s="66">
        <v>10</v>
      </c>
      <c r="V32" s="66">
        <v>5</v>
      </c>
      <c r="W32" s="66"/>
      <c r="X32" s="66">
        <v>0</v>
      </c>
      <c r="Y32" s="66">
        <v>7</v>
      </c>
      <c r="Z32" s="66">
        <v>10</v>
      </c>
      <c r="AA32" s="66">
        <v>8</v>
      </c>
      <c r="AB32" s="66"/>
      <c r="AC32" s="66"/>
      <c r="AD32" s="66"/>
      <c r="AE32" s="66"/>
      <c r="AF32" s="66"/>
      <c r="AG32" s="66"/>
      <c r="AH32" s="66"/>
      <c r="AI32" s="66"/>
      <c r="AJ32" s="66"/>
      <c r="AK32" s="66"/>
      <c r="AL32" s="66"/>
      <c r="AM32" s="66"/>
      <c r="AN32" s="66"/>
      <c r="AO32" s="66"/>
      <c r="AP32" s="66"/>
      <c r="AQ32" s="66"/>
    </row>
    <row r="33" spans="1:43" s="56" customFormat="1">
      <c r="A33" s="61" t="s">
        <v>32</v>
      </c>
      <c r="B33" s="62" t="s">
        <v>116</v>
      </c>
      <c r="C33" s="66"/>
      <c r="D33" s="66"/>
      <c r="E33" s="66"/>
      <c r="F33" s="66"/>
      <c r="G33" s="66"/>
      <c r="H33" s="66">
        <v>21</v>
      </c>
      <c r="I33" s="56">
        <v>20</v>
      </c>
      <c r="J33" s="66">
        <v>28</v>
      </c>
      <c r="K33" s="195">
        <v>22</v>
      </c>
      <c r="L33" s="66">
        <v>29</v>
      </c>
      <c r="M33" s="66">
        <v>33</v>
      </c>
      <c r="N33" s="66">
        <v>48</v>
      </c>
      <c r="O33" s="66">
        <v>34</v>
      </c>
      <c r="P33" s="66">
        <v>27</v>
      </c>
      <c r="Q33" s="66">
        <v>38</v>
      </c>
      <c r="R33" s="66">
        <v>33</v>
      </c>
      <c r="S33" s="66">
        <v>23</v>
      </c>
      <c r="T33" s="66">
        <v>33</v>
      </c>
      <c r="U33" s="66">
        <v>35</v>
      </c>
      <c r="V33" s="66">
        <v>31</v>
      </c>
      <c r="W33" s="66"/>
      <c r="X33" s="66">
        <v>0</v>
      </c>
      <c r="Y33" s="66">
        <v>23</v>
      </c>
      <c r="Z33" s="66">
        <v>41</v>
      </c>
      <c r="AA33" s="66">
        <v>47</v>
      </c>
      <c r="AB33" s="66"/>
      <c r="AC33" s="66"/>
      <c r="AD33" s="66"/>
      <c r="AE33" s="66"/>
      <c r="AF33" s="66"/>
      <c r="AG33" s="66"/>
      <c r="AH33" s="66"/>
      <c r="AI33" s="66"/>
      <c r="AJ33" s="66"/>
      <c r="AK33" s="66"/>
      <c r="AL33" s="66"/>
      <c r="AM33" s="66"/>
      <c r="AN33" s="66"/>
      <c r="AO33" s="66"/>
      <c r="AP33" s="66"/>
      <c r="AQ33" s="66"/>
    </row>
    <row r="34" spans="1:43" s="56" customFormat="1">
      <c r="A34" s="61" t="s">
        <v>33</v>
      </c>
      <c r="B34" s="62" t="s">
        <v>117</v>
      </c>
      <c r="C34" s="66"/>
      <c r="D34" s="66"/>
      <c r="E34" s="66"/>
      <c r="F34" s="66"/>
      <c r="G34" s="66"/>
      <c r="H34" s="66">
        <v>11</v>
      </c>
      <c r="I34" s="66">
        <v>7</v>
      </c>
      <c r="J34" s="66">
        <v>7</v>
      </c>
      <c r="K34" s="195">
        <v>8</v>
      </c>
      <c r="L34" s="66">
        <v>7</v>
      </c>
      <c r="M34" s="66">
        <v>8</v>
      </c>
      <c r="N34" s="66">
        <v>6</v>
      </c>
      <c r="O34" s="66">
        <v>12</v>
      </c>
      <c r="P34" s="66">
        <v>6</v>
      </c>
      <c r="Q34" s="66">
        <v>6</v>
      </c>
      <c r="R34" s="66">
        <v>5</v>
      </c>
      <c r="S34" s="66">
        <v>4</v>
      </c>
      <c r="T34" s="66">
        <v>5</v>
      </c>
      <c r="U34" s="66">
        <v>5</v>
      </c>
      <c r="V34" s="66">
        <v>5</v>
      </c>
      <c r="W34" s="66"/>
      <c r="X34" s="66">
        <v>0</v>
      </c>
      <c r="Y34" s="66">
        <v>1</v>
      </c>
      <c r="Z34" s="66">
        <v>25</v>
      </c>
      <c r="AA34" s="66">
        <v>7</v>
      </c>
      <c r="AB34" s="66"/>
      <c r="AC34" s="66"/>
      <c r="AD34" s="66"/>
      <c r="AE34" s="66"/>
      <c r="AF34" s="66"/>
      <c r="AG34" s="66"/>
      <c r="AH34" s="66"/>
      <c r="AI34" s="66"/>
      <c r="AJ34" s="66"/>
      <c r="AK34" s="66"/>
      <c r="AL34" s="66"/>
      <c r="AM34" s="66"/>
      <c r="AN34" s="66"/>
      <c r="AO34" s="66"/>
      <c r="AP34" s="66"/>
      <c r="AQ34" s="66"/>
    </row>
    <row r="35" spans="1:43" s="56" customFormat="1">
      <c r="A35" s="61" t="s">
        <v>34</v>
      </c>
      <c r="B35" s="62" t="s">
        <v>118</v>
      </c>
      <c r="C35" s="66"/>
      <c r="D35" s="66"/>
      <c r="E35" s="66"/>
      <c r="F35" s="66"/>
      <c r="G35" s="66"/>
      <c r="H35" s="66"/>
      <c r="I35" s="66"/>
      <c r="J35" s="66">
        <v>2</v>
      </c>
      <c r="K35" s="195">
        <v>0</v>
      </c>
      <c r="L35" s="66">
        <v>2</v>
      </c>
      <c r="M35" s="66">
        <v>1</v>
      </c>
      <c r="N35" s="66">
        <v>3</v>
      </c>
      <c r="O35" s="66">
        <v>1</v>
      </c>
      <c r="P35" s="66">
        <v>7</v>
      </c>
      <c r="Q35" s="66">
        <v>1</v>
      </c>
      <c r="R35" s="66">
        <v>3</v>
      </c>
      <c r="S35" s="66">
        <v>3</v>
      </c>
      <c r="T35" s="66">
        <v>1</v>
      </c>
      <c r="U35" s="66"/>
      <c r="V35" s="66"/>
      <c r="W35" s="66"/>
      <c r="X35" s="66"/>
      <c r="Y35" s="66">
        <v>2</v>
      </c>
      <c r="Z35" s="66"/>
      <c r="AA35" s="66">
        <v>0</v>
      </c>
      <c r="AB35" s="66"/>
      <c r="AC35" s="66"/>
      <c r="AD35" s="66"/>
      <c r="AE35" s="66"/>
      <c r="AF35" s="66"/>
      <c r="AG35" s="66"/>
      <c r="AH35" s="66"/>
      <c r="AI35" s="66"/>
      <c r="AJ35" s="66"/>
      <c r="AK35" s="66"/>
      <c r="AL35" s="66"/>
      <c r="AM35" s="66"/>
      <c r="AN35" s="66"/>
      <c r="AO35" s="66"/>
      <c r="AP35" s="66"/>
      <c r="AQ35" s="66"/>
    </row>
    <row r="36" spans="1:43" s="56" customFormat="1">
      <c r="A36" s="61" t="s">
        <v>35</v>
      </c>
      <c r="B36" s="62" t="s">
        <v>118</v>
      </c>
      <c r="C36" s="66"/>
      <c r="D36" s="66"/>
      <c r="E36" s="66"/>
      <c r="F36" s="66"/>
      <c r="G36" s="66"/>
      <c r="H36" s="66">
        <v>2</v>
      </c>
      <c r="I36" s="66"/>
      <c r="J36" s="66"/>
      <c r="K36" s="195">
        <v>0</v>
      </c>
      <c r="L36" s="66">
        <v>2</v>
      </c>
      <c r="M36" s="66">
        <v>4</v>
      </c>
      <c r="N36" s="66">
        <v>0</v>
      </c>
      <c r="O36" s="66">
        <v>3</v>
      </c>
      <c r="P36" s="66">
        <v>2</v>
      </c>
      <c r="Q36" s="66">
        <v>4</v>
      </c>
      <c r="R36" s="66">
        <v>4</v>
      </c>
      <c r="S36" s="66">
        <v>0</v>
      </c>
      <c r="T36" s="66">
        <v>4</v>
      </c>
      <c r="U36" s="66"/>
      <c r="V36" s="66"/>
      <c r="W36" s="66"/>
      <c r="X36" s="66"/>
      <c r="Y36" s="66">
        <v>0</v>
      </c>
      <c r="Z36" s="66"/>
      <c r="AA36" s="66">
        <v>0</v>
      </c>
      <c r="AB36" s="66"/>
      <c r="AC36" s="66"/>
      <c r="AD36" s="66"/>
      <c r="AE36" s="66"/>
      <c r="AF36" s="66"/>
      <c r="AG36" s="66"/>
      <c r="AH36" s="66"/>
      <c r="AI36" s="66"/>
      <c r="AJ36" s="66"/>
      <c r="AK36" s="66"/>
      <c r="AL36" s="66"/>
      <c r="AM36" s="66"/>
      <c r="AN36" s="66"/>
      <c r="AO36" s="66"/>
      <c r="AP36" s="66"/>
      <c r="AQ36" s="66"/>
    </row>
    <row r="37" spans="1:43" s="56" customFormat="1">
      <c r="A37" s="61" t="s">
        <v>36</v>
      </c>
      <c r="B37" s="62" t="s">
        <v>120</v>
      </c>
      <c r="C37" s="66"/>
      <c r="D37" s="66"/>
      <c r="E37" s="66"/>
      <c r="F37" s="66"/>
      <c r="G37" s="66"/>
      <c r="H37" s="66"/>
      <c r="I37" s="66"/>
      <c r="J37" s="66"/>
      <c r="K37" s="195">
        <v>0</v>
      </c>
      <c r="L37" s="66">
        <v>0</v>
      </c>
      <c r="M37" s="66">
        <v>0</v>
      </c>
      <c r="N37" s="66">
        <v>0</v>
      </c>
      <c r="O37" s="66">
        <v>0</v>
      </c>
      <c r="P37" s="66">
        <v>0</v>
      </c>
      <c r="Q37" s="66">
        <v>1</v>
      </c>
      <c r="R37" s="66">
        <v>1</v>
      </c>
      <c r="S37" s="66">
        <v>0</v>
      </c>
      <c r="T37" s="66">
        <v>0</v>
      </c>
      <c r="U37" s="66"/>
      <c r="V37" s="66"/>
      <c r="W37" s="66"/>
      <c r="X37" s="66"/>
      <c r="Y37" s="66">
        <v>0</v>
      </c>
      <c r="Z37" s="66"/>
      <c r="AA37" s="66">
        <v>0</v>
      </c>
      <c r="AB37" s="66"/>
      <c r="AC37" s="66"/>
      <c r="AD37" s="66"/>
      <c r="AE37" s="66"/>
      <c r="AF37" s="66"/>
      <c r="AG37" s="66"/>
      <c r="AH37" s="66"/>
      <c r="AI37" s="66"/>
      <c r="AJ37" s="66"/>
      <c r="AK37" s="66"/>
      <c r="AL37" s="66"/>
      <c r="AM37" s="66"/>
      <c r="AN37" s="66"/>
      <c r="AO37" s="66"/>
      <c r="AP37" s="66"/>
      <c r="AQ37" s="66"/>
    </row>
    <row r="38" spans="1:43" s="56" customFormat="1">
      <c r="A38" s="64" t="s">
        <v>121</v>
      </c>
      <c r="B38" s="64"/>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row>
    <row r="39" spans="1:43" s="56" customFormat="1">
      <c r="A39" s="61" t="s">
        <v>31</v>
      </c>
      <c r="B39" s="62" t="s">
        <v>115</v>
      </c>
      <c r="C39" s="66"/>
      <c r="D39" s="66"/>
      <c r="E39" s="66">
        <v>25</v>
      </c>
      <c r="F39" s="66">
        <v>11</v>
      </c>
      <c r="G39" s="66">
        <v>13</v>
      </c>
      <c r="H39" s="66">
        <v>19</v>
      </c>
      <c r="I39" s="66">
        <v>12</v>
      </c>
      <c r="J39" s="66"/>
      <c r="K39" s="66">
        <v>15</v>
      </c>
      <c r="L39" s="66">
        <v>12</v>
      </c>
      <c r="M39" s="66">
        <v>18</v>
      </c>
      <c r="N39" s="66">
        <v>17</v>
      </c>
      <c r="O39" s="66">
        <v>14</v>
      </c>
      <c r="P39" s="66">
        <v>10</v>
      </c>
      <c r="Q39" s="66">
        <v>9</v>
      </c>
      <c r="R39" s="66">
        <v>7</v>
      </c>
      <c r="S39" s="66">
        <v>9</v>
      </c>
      <c r="T39" s="66">
        <v>16</v>
      </c>
      <c r="U39" s="66">
        <v>16</v>
      </c>
      <c r="V39" s="66">
        <v>3</v>
      </c>
      <c r="W39" s="66"/>
      <c r="X39" s="66">
        <v>11</v>
      </c>
      <c r="Y39" s="66">
        <v>10</v>
      </c>
      <c r="Z39" s="66">
        <v>32</v>
      </c>
      <c r="AA39" s="66">
        <v>19</v>
      </c>
      <c r="AB39" s="66"/>
      <c r="AC39" s="66"/>
      <c r="AD39" s="66"/>
      <c r="AE39" s="66"/>
      <c r="AF39" s="66"/>
      <c r="AG39" s="66"/>
      <c r="AH39" s="66"/>
      <c r="AI39" s="66"/>
      <c r="AJ39" s="66"/>
      <c r="AK39" s="66"/>
      <c r="AL39" s="66"/>
      <c r="AM39" s="66"/>
      <c r="AN39" s="66"/>
      <c r="AO39" s="66"/>
      <c r="AP39" s="66"/>
      <c r="AQ39" s="66"/>
    </row>
    <row r="40" spans="1:43" s="56" customFormat="1">
      <c r="A40" s="61" t="s">
        <v>32</v>
      </c>
      <c r="B40" s="62" t="s">
        <v>116</v>
      </c>
      <c r="C40" s="66"/>
      <c r="D40" s="61"/>
      <c r="E40" s="66">
        <v>96</v>
      </c>
      <c r="F40" s="66">
        <v>59</v>
      </c>
      <c r="G40" s="66">
        <v>108</v>
      </c>
      <c r="H40" s="66">
        <v>94</v>
      </c>
      <c r="I40" s="66">
        <v>64</v>
      </c>
      <c r="J40" s="66"/>
      <c r="K40" s="66">
        <v>76</v>
      </c>
      <c r="L40" s="66">
        <v>78</v>
      </c>
      <c r="M40" s="66">
        <v>73</v>
      </c>
      <c r="N40" s="66">
        <v>82</v>
      </c>
      <c r="O40" s="66">
        <v>75</v>
      </c>
      <c r="P40" s="66">
        <v>46</v>
      </c>
      <c r="Q40" s="66">
        <v>65</v>
      </c>
      <c r="R40" s="66">
        <v>41</v>
      </c>
      <c r="S40" s="66">
        <v>29</v>
      </c>
      <c r="T40" s="66">
        <v>67</v>
      </c>
      <c r="U40" s="66">
        <v>82</v>
      </c>
      <c r="V40" s="66">
        <v>41</v>
      </c>
      <c r="W40" s="66"/>
      <c r="X40" s="66">
        <v>73</v>
      </c>
      <c r="Y40" s="66">
        <v>79</v>
      </c>
      <c r="Z40" s="66">
        <v>107</v>
      </c>
      <c r="AA40" s="66">
        <v>110</v>
      </c>
      <c r="AB40" s="66"/>
      <c r="AC40" s="66"/>
      <c r="AD40" s="66"/>
      <c r="AE40" s="66"/>
      <c r="AF40" s="66"/>
      <c r="AG40" s="66"/>
      <c r="AH40" s="66"/>
      <c r="AI40" s="66"/>
      <c r="AJ40" s="66"/>
      <c r="AK40" s="66"/>
      <c r="AL40" s="66"/>
      <c r="AM40" s="66"/>
      <c r="AN40" s="66"/>
      <c r="AO40" s="66"/>
      <c r="AP40" s="66"/>
      <c r="AQ40" s="66"/>
    </row>
    <row r="41" spans="1:43" s="56" customFormat="1">
      <c r="A41" s="61" t="s">
        <v>33</v>
      </c>
      <c r="B41" s="62" t="s">
        <v>117</v>
      </c>
      <c r="C41" s="66"/>
      <c r="D41" s="61"/>
      <c r="E41" s="66">
        <v>20</v>
      </c>
      <c r="F41" s="66">
        <v>18</v>
      </c>
      <c r="G41" s="66">
        <v>20</v>
      </c>
      <c r="H41" s="66">
        <v>21</v>
      </c>
      <c r="I41" s="66">
        <v>17</v>
      </c>
      <c r="J41" s="66"/>
      <c r="K41" s="66">
        <v>16</v>
      </c>
      <c r="L41" s="66">
        <v>12</v>
      </c>
      <c r="M41" s="66">
        <v>8</v>
      </c>
      <c r="N41" s="201">
        <v>9</v>
      </c>
      <c r="O41" s="66">
        <v>12</v>
      </c>
      <c r="P41" s="66">
        <v>9</v>
      </c>
      <c r="Q41" s="66">
        <v>9</v>
      </c>
      <c r="R41" s="66">
        <v>4</v>
      </c>
      <c r="S41" s="66">
        <v>6</v>
      </c>
      <c r="T41" s="66">
        <v>7</v>
      </c>
      <c r="U41" s="66">
        <v>9</v>
      </c>
      <c r="V41" s="66">
        <v>6</v>
      </c>
      <c r="W41" s="66"/>
      <c r="X41" s="66">
        <v>11</v>
      </c>
      <c r="Y41" s="66">
        <v>12</v>
      </c>
      <c r="Z41" s="66">
        <v>12</v>
      </c>
      <c r="AA41" s="66">
        <v>13</v>
      </c>
      <c r="AB41" s="66"/>
      <c r="AC41" s="66"/>
      <c r="AD41" s="66"/>
      <c r="AE41" s="66"/>
      <c r="AF41" s="66"/>
      <c r="AG41" s="66"/>
      <c r="AH41" s="66"/>
      <c r="AI41" s="66"/>
      <c r="AJ41" s="66"/>
      <c r="AK41" s="66"/>
      <c r="AL41" s="66"/>
      <c r="AM41" s="66"/>
      <c r="AN41" s="66"/>
      <c r="AO41" s="66"/>
      <c r="AP41" s="66"/>
      <c r="AQ41" s="66"/>
    </row>
    <row r="42" spans="1:43" s="56" customFormat="1">
      <c r="A42" s="61" t="s">
        <v>34</v>
      </c>
      <c r="B42" s="62" t="s">
        <v>118</v>
      </c>
      <c r="C42" s="66"/>
      <c r="D42" s="61"/>
      <c r="E42" s="66">
        <v>2</v>
      </c>
      <c r="F42" s="66">
        <v>0</v>
      </c>
      <c r="G42" s="66">
        <v>0</v>
      </c>
      <c r="H42" s="66"/>
      <c r="I42" s="66"/>
      <c r="J42" s="66"/>
      <c r="K42" s="66">
        <v>1</v>
      </c>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row>
    <row r="43" spans="1:43" s="56" customFormat="1">
      <c r="A43" s="61" t="s">
        <v>35</v>
      </c>
      <c r="B43" s="62" t="s">
        <v>118</v>
      </c>
      <c r="C43" s="66"/>
      <c r="D43" s="61"/>
      <c r="E43" s="66">
        <v>1</v>
      </c>
      <c r="F43" s="66">
        <v>1</v>
      </c>
      <c r="G43" s="66">
        <v>0</v>
      </c>
      <c r="H43" s="66"/>
      <c r="I43" s="66"/>
      <c r="J43" s="66"/>
      <c r="K43" s="66">
        <v>0</v>
      </c>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row>
    <row r="44" spans="1:43" s="56" customFormat="1">
      <c r="A44" s="61" t="s">
        <v>36</v>
      </c>
      <c r="B44" s="62" t="s">
        <v>118</v>
      </c>
      <c r="C44" s="66"/>
      <c r="D44" s="61"/>
      <c r="E44" s="66">
        <v>0</v>
      </c>
      <c r="F44" s="66">
        <v>0</v>
      </c>
      <c r="G44" s="66">
        <v>0</v>
      </c>
      <c r="H44" s="66"/>
      <c r="I44" s="66"/>
      <c r="J44" s="66"/>
      <c r="K44" s="66">
        <v>0</v>
      </c>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row>
    <row r="45" spans="1:43" s="56" customFormat="1">
      <c r="A45" s="64" t="s">
        <v>122</v>
      </c>
      <c r="B45" s="64"/>
      <c r="C45" s="66"/>
      <c r="D45" s="61"/>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row>
    <row r="46" spans="1:43" s="56" customFormat="1" ht="12" customHeight="1">
      <c r="A46" s="61" t="s">
        <v>31</v>
      </c>
      <c r="B46" s="62" t="s">
        <v>115</v>
      </c>
      <c r="C46" s="66"/>
      <c r="D46" s="61"/>
      <c r="E46" s="66"/>
      <c r="F46" s="66">
        <v>10</v>
      </c>
      <c r="G46" s="66">
        <v>1</v>
      </c>
      <c r="H46" s="66">
        <v>5</v>
      </c>
      <c r="I46" s="66">
        <v>9</v>
      </c>
      <c r="J46" s="66">
        <v>14</v>
      </c>
      <c r="K46" s="66">
        <v>5</v>
      </c>
      <c r="L46" s="66">
        <v>1</v>
      </c>
      <c r="M46" s="66">
        <v>13</v>
      </c>
      <c r="N46" s="66"/>
      <c r="O46" s="66"/>
      <c r="P46" s="66">
        <v>15</v>
      </c>
      <c r="Q46" s="66">
        <v>10</v>
      </c>
      <c r="R46" s="66">
        <v>5</v>
      </c>
      <c r="S46" s="66">
        <v>10</v>
      </c>
      <c r="T46" s="66">
        <v>13</v>
      </c>
      <c r="U46" s="66">
        <v>9</v>
      </c>
      <c r="V46" s="66">
        <v>8</v>
      </c>
      <c r="W46" s="66">
        <v>6</v>
      </c>
      <c r="X46" s="66">
        <v>18</v>
      </c>
      <c r="Y46" s="66">
        <v>3</v>
      </c>
      <c r="Z46" s="66"/>
      <c r="AA46" s="66">
        <v>1</v>
      </c>
      <c r="AB46" s="66"/>
      <c r="AC46" s="66"/>
      <c r="AD46" s="66"/>
      <c r="AE46" s="66"/>
      <c r="AF46" s="66"/>
      <c r="AG46" s="66"/>
      <c r="AH46" s="66"/>
      <c r="AI46" s="66"/>
      <c r="AJ46" s="66"/>
      <c r="AK46" s="66"/>
      <c r="AL46" s="66"/>
      <c r="AM46" s="66"/>
      <c r="AN46" s="66"/>
      <c r="AO46" s="66"/>
      <c r="AP46" s="66"/>
      <c r="AQ46" s="66"/>
    </row>
    <row r="47" spans="1:43" s="56" customFormat="1">
      <c r="A47" s="61" t="s">
        <v>32</v>
      </c>
      <c r="B47" s="62" t="s">
        <v>116</v>
      </c>
      <c r="C47" s="66"/>
      <c r="D47" s="61"/>
      <c r="E47" s="66"/>
      <c r="F47" s="66">
        <v>55</v>
      </c>
      <c r="G47" s="66">
        <v>39</v>
      </c>
      <c r="H47" s="66">
        <v>34</v>
      </c>
      <c r="I47" s="66">
        <v>41</v>
      </c>
      <c r="J47" s="66">
        <v>46</v>
      </c>
      <c r="K47" s="66">
        <v>40</v>
      </c>
      <c r="L47" s="66">
        <v>58</v>
      </c>
      <c r="M47" s="66">
        <v>56</v>
      </c>
      <c r="N47" s="66"/>
      <c r="O47" s="66"/>
      <c r="P47" s="66">
        <v>69</v>
      </c>
      <c r="Q47" s="66">
        <v>73</v>
      </c>
      <c r="R47" s="66">
        <v>24</v>
      </c>
      <c r="S47" s="66">
        <v>77</v>
      </c>
      <c r="T47" s="66">
        <v>55</v>
      </c>
      <c r="U47" s="66">
        <v>70</v>
      </c>
      <c r="V47" s="66">
        <v>40</v>
      </c>
      <c r="W47" s="66">
        <v>38</v>
      </c>
      <c r="X47" s="66">
        <v>87</v>
      </c>
      <c r="Y47" s="66">
        <v>50</v>
      </c>
      <c r="Z47" s="66"/>
      <c r="AA47" s="66">
        <v>59</v>
      </c>
      <c r="AB47" s="66"/>
      <c r="AC47" s="66"/>
      <c r="AD47" s="66"/>
      <c r="AE47" s="66"/>
      <c r="AF47" s="66"/>
      <c r="AG47" s="66"/>
      <c r="AH47" s="66"/>
      <c r="AI47" s="66"/>
      <c r="AJ47" s="66"/>
      <c r="AK47" s="66"/>
      <c r="AL47" s="66"/>
      <c r="AM47" s="66"/>
      <c r="AN47" s="66"/>
      <c r="AO47" s="66"/>
      <c r="AP47" s="66"/>
      <c r="AQ47" s="66"/>
    </row>
    <row r="48" spans="1:43" s="56" customFormat="1">
      <c r="A48" s="61" t="s">
        <v>33</v>
      </c>
      <c r="B48" s="62" t="s">
        <v>117</v>
      </c>
      <c r="C48" s="66"/>
      <c r="D48" s="61"/>
      <c r="E48" s="66"/>
      <c r="F48" s="66">
        <v>1</v>
      </c>
      <c r="G48" s="66">
        <v>1</v>
      </c>
      <c r="H48" s="66">
        <v>0</v>
      </c>
      <c r="I48" s="66">
        <v>0</v>
      </c>
      <c r="J48" s="66">
        <v>3</v>
      </c>
      <c r="K48" s="66">
        <v>1</v>
      </c>
      <c r="L48" s="66">
        <v>5</v>
      </c>
      <c r="M48" s="66">
        <v>4</v>
      </c>
      <c r="N48" s="66"/>
      <c r="O48" s="66"/>
      <c r="P48" s="66">
        <v>6</v>
      </c>
      <c r="Q48" s="66">
        <v>6</v>
      </c>
      <c r="R48" s="66">
        <v>5</v>
      </c>
      <c r="S48" s="66">
        <v>11</v>
      </c>
      <c r="T48" s="66">
        <v>7</v>
      </c>
      <c r="U48" s="66">
        <v>8</v>
      </c>
      <c r="V48" s="66">
        <v>8</v>
      </c>
      <c r="W48" s="66">
        <v>7</v>
      </c>
      <c r="X48" s="66">
        <v>11</v>
      </c>
      <c r="Y48" s="66">
        <v>12</v>
      </c>
      <c r="Z48" s="66"/>
      <c r="AA48" s="66">
        <v>8</v>
      </c>
      <c r="AB48" s="66"/>
      <c r="AC48" s="66"/>
      <c r="AD48" s="66"/>
      <c r="AE48" s="66"/>
      <c r="AF48" s="66"/>
      <c r="AG48" s="66"/>
      <c r="AH48" s="66"/>
      <c r="AI48" s="66"/>
      <c r="AJ48" s="66"/>
      <c r="AK48" s="66"/>
      <c r="AL48" s="66"/>
      <c r="AM48" s="66"/>
      <c r="AN48" s="66"/>
      <c r="AO48" s="66"/>
      <c r="AP48" s="66"/>
      <c r="AQ48" s="66"/>
    </row>
    <row r="49" spans="1:43" s="56" customFormat="1">
      <c r="A49" s="61" t="s">
        <v>34</v>
      </c>
      <c r="B49" s="62" t="s">
        <v>118</v>
      </c>
      <c r="C49" s="66"/>
      <c r="D49" s="66"/>
      <c r="E49" s="66"/>
      <c r="F49" s="169">
        <v>0</v>
      </c>
      <c r="G49" s="66">
        <v>0</v>
      </c>
      <c r="H49" s="66">
        <v>0</v>
      </c>
      <c r="I49" s="66">
        <v>0</v>
      </c>
      <c r="J49" s="66">
        <v>0</v>
      </c>
      <c r="K49" s="66">
        <v>0</v>
      </c>
      <c r="L49" s="66">
        <v>0</v>
      </c>
      <c r="M49" s="66">
        <v>0</v>
      </c>
      <c r="N49" s="66"/>
      <c r="O49" s="66"/>
      <c r="P49" s="66">
        <v>0</v>
      </c>
      <c r="Q49" s="66">
        <v>0</v>
      </c>
      <c r="R49" s="66">
        <v>0</v>
      </c>
      <c r="S49" s="66">
        <v>0</v>
      </c>
      <c r="T49" s="66">
        <v>0</v>
      </c>
      <c r="U49" s="66"/>
      <c r="V49" s="66"/>
      <c r="W49" s="66"/>
      <c r="X49" s="66"/>
      <c r="Y49" s="66"/>
      <c r="Z49" s="66"/>
      <c r="AA49" s="66"/>
      <c r="AB49" s="66"/>
      <c r="AC49" s="66"/>
      <c r="AD49" s="66"/>
      <c r="AE49" s="66"/>
      <c r="AF49" s="66"/>
      <c r="AG49" s="66"/>
      <c r="AH49" s="66"/>
      <c r="AI49" s="66"/>
      <c r="AJ49" s="66"/>
      <c r="AK49" s="66"/>
      <c r="AL49" s="66"/>
      <c r="AM49" s="66"/>
      <c r="AN49" s="66"/>
      <c r="AO49" s="66"/>
      <c r="AP49" s="66"/>
      <c r="AQ49" s="66"/>
    </row>
    <row r="50" spans="1:43" s="56" customFormat="1">
      <c r="A50" s="61" t="s">
        <v>35</v>
      </c>
      <c r="B50" s="62" t="s">
        <v>118</v>
      </c>
      <c r="C50" s="66"/>
      <c r="D50" s="66"/>
      <c r="E50" s="66"/>
      <c r="F50" s="169">
        <v>0</v>
      </c>
      <c r="G50" s="66">
        <v>0</v>
      </c>
      <c r="H50" s="66">
        <v>0</v>
      </c>
      <c r="I50" s="66">
        <v>0</v>
      </c>
      <c r="J50" s="66">
        <v>0</v>
      </c>
      <c r="K50" s="66">
        <v>0</v>
      </c>
      <c r="L50" s="66">
        <v>0</v>
      </c>
      <c r="M50" s="66">
        <v>0</v>
      </c>
      <c r="N50" s="66"/>
      <c r="O50" s="66"/>
      <c r="P50" s="66">
        <v>0</v>
      </c>
      <c r="Q50" s="66">
        <v>0</v>
      </c>
      <c r="R50" s="66">
        <v>0</v>
      </c>
      <c r="S50" s="66">
        <v>0</v>
      </c>
      <c r="T50" s="66">
        <v>0</v>
      </c>
      <c r="U50" s="66"/>
      <c r="V50" s="66"/>
      <c r="W50" s="66"/>
      <c r="X50" s="66"/>
      <c r="Y50" s="66"/>
      <c r="Z50" s="66"/>
      <c r="AA50" s="66"/>
      <c r="AB50" s="66"/>
      <c r="AC50" s="66"/>
      <c r="AD50" s="66"/>
      <c r="AE50" s="66"/>
      <c r="AF50" s="66"/>
      <c r="AG50" s="66"/>
      <c r="AH50" s="66"/>
      <c r="AI50" s="66"/>
      <c r="AJ50" s="66"/>
      <c r="AK50" s="66"/>
      <c r="AL50" s="66"/>
      <c r="AM50" s="66"/>
      <c r="AN50" s="66"/>
      <c r="AO50" s="66"/>
      <c r="AP50" s="66"/>
      <c r="AQ50" s="66"/>
    </row>
    <row r="51" spans="1:43" s="56" customFormat="1">
      <c r="A51" s="61" t="s">
        <v>36</v>
      </c>
      <c r="B51" s="90">
        <v>0</v>
      </c>
      <c r="C51" s="71"/>
      <c r="D51" s="71"/>
      <c r="E51" s="71"/>
      <c r="F51" s="170">
        <v>0</v>
      </c>
      <c r="G51" s="170">
        <v>0</v>
      </c>
      <c r="H51" s="170">
        <v>0</v>
      </c>
      <c r="I51" s="170">
        <v>0</v>
      </c>
      <c r="J51" s="170">
        <v>0</v>
      </c>
      <c r="K51" s="170">
        <v>0</v>
      </c>
      <c r="L51" s="170">
        <v>0</v>
      </c>
      <c r="M51" s="170">
        <v>0</v>
      </c>
      <c r="N51" s="66"/>
      <c r="O51" s="66"/>
      <c r="P51" s="66">
        <v>0</v>
      </c>
      <c r="Q51" s="66">
        <v>0</v>
      </c>
      <c r="R51" s="66">
        <v>0</v>
      </c>
      <c r="S51" s="66">
        <v>0</v>
      </c>
      <c r="T51" s="66">
        <v>0</v>
      </c>
      <c r="U51" s="66"/>
      <c r="V51" s="66"/>
      <c r="W51" s="66"/>
      <c r="X51" s="66"/>
      <c r="Y51" s="66"/>
      <c r="Z51" s="66"/>
      <c r="AA51" s="66"/>
      <c r="AB51" s="66"/>
      <c r="AC51" s="66"/>
      <c r="AD51" s="66"/>
      <c r="AE51" s="66"/>
      <c r="AF51" s="66"/>
      <c r="AG51" s="66"/>
      <c r="AH51" s="66"/>
      <c r="AI51" s="66"/>
      <c r="AJ51" s="66"/>
      <c r="AK51" s="66"/>
      <c r="AL51" s="66"/>
      <c r="AM51" s="66"/>
      <c r="AN51" s="66"/>
      <c r="AO51" s="71"/>
      <c r="AP51" s="66"/>
      <c r="AQ51" s="66"/>
    </row>
    <row r="52" spans="1:43" s="56" customFormat="1" ht="21" customHeight="1">
      <c r="A52" s="93" t="s">
        <v>123</v>
      </c>
      <c r="B52" s="93"/>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66" t="s">
        <v>93</v>
      </c>
      <c r="AQ52" s="66"/>
    </row>
    <row r="53" spans="1:43" s="56" customFormat="1" ht="21" customHeight="1">
      <c r="A53" s="61" t="s">
        <v>124</v>
      </c>
      <c r="B53" s="90">
        <v>20000</v>
      </c>
      <c r="C53" s="71"/>
      <c r="D53" s="71"/>
      <c r="E53" s="173">
        <v>60834</v>
      </c>
      <c r="F53" s="173">
        <v>38775</v>
      </c>
      <c r="G53" s="173">
        <v>42858.75</v>
      </c>
      <c r="H53" s="173">
        <v>111889</v>
      </c>
      <c r="I53" s="173">
        <v>56800.88</v>
      </c>
      <c r="J53" s="182">
        <v>24025</v>
      </c>
      <c r="K53" s="182">
        <v>25375</v>
      </c>
      <c r="L53" s="173">
        <v>65375.01</v>
      </c>
      <c r="M53" s="71"/>
      <c r="N53" s="71"/>
      <c r="O53" s="71"/>
      <c r="P53" s="172">
        <v>63662.9</v>
      </c>
      <c r="Q53" s="207">
        <v>36192.879999999997</v>
      </c>
      <c r="R53" s="71">
        <v>25109.75</v>
      </c>
      <c r="S53" s="99">
        <v>22409.75</v>
      </c>
      <c r="T53" s="172">
        <v>97291.5</v>
      </c>
      <c r="U53" s="71">
        <v>28324.25</v>
      </c>
      <c r="V53" s="71">
        <v>27046</v>
      </c>
      <c r="W53" s="71">
        <v>16277</v>
      </c>
      <c r="X53" s="71">
        <v>77555.88</v>
      </c>
      <c r="Y53" s="71">
        <v>26872.25</v>
      </c>
      <c r="Z53" s="71">
        <v>16277</v>
      </c>
      <c r="AA53" s="71">
        <v>16277</v>
      </c>
      <c r="AB53" s="71"/>
      <c r="AC53" s="71"/>
      <c r="AD53" s="71"/>
      <c r="AE53" s="71"/>
      <c r="AF53" s="71"/>
      <c r="AG53" s="71"/>
      <c r="AH53" s="71"/>
      <c r="AI53" s="71"/>
      <c r="AJ53" s="71"/>
      <c r="AK53" s="71"/>
      <c r="AL53" s="71"/>
      <c r="AM53" s="71"/>
      <c r="AN53" s="71"/>
      <c r="AO53" s="71"/>
      <c r="AP53" s="66" t="s">
        <v>93</v>
      </c>
      <c r="AQ53" s="66"/>
    </row>
    <row r="54" spans="1:43" s="56" customFormat="1" ht="21" customHeight="1">
      <c r="A54" s="93" t="s">
        <v>125</v>
      </c>
      <c r="B54" s="93"/>
      <c r="C54" s="72"/>
      <c r="D54" s="72"/>
      <c r="E54" s="72"/>
      <c r="F54" s="72"/>
      <c r="G54" s="72"/>
      <c r="H54" s="72"/>
      <c r="I54" s="72"/>
      <c r="J54" s="72" t="s">
        <v>126</v>
      </c>
      <c r="K54" s="72" t="s">
        <v>127</v>
      </c>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66" t="s">
        <v>93</v>
      </c>
      <c r="AQ54" s="66"/>
    </row>
    <row r="55" spans="1:43" s="193" customFormat="1" ht="21" customHeight="1">
      <c r="A55" s="190" t="s">
        <v>128</v>
      </c>
      <c r="B55" s="190">
        <v>45</v>
      </c>
      <c r="C55" s="191"/>
      <c r="D55" s="191"/>
      <c r="E55" s="191"/>
      <c r="F55" s="191"/>
      <c r="G55" s="191"/>
      <c r="H55" s="191"/>
      <c r="I55" s="191"/>
      <c r="J55" s="194">
        <v>35</v>
      </c>
      <c r="K55" s="194">
        <v>31</v>
      </c>
      <c r="L55" s="191">
        <v>0</v>
      </c>
      <c r="M55" s="191">
        <v>0</v>
      </c>
      <c r="N55" s="191">
        <v>0</v>
      </c>
      <c r="O55" s="191">
        <v>0</v>
      </c>
      <c r="P55" s="191">
        <v>0</v>
      </c>
      <c r="Q55" s="191"/>
      <c r="R55" s="191"/>
      <c r="S55" s="191"/>
      <c r="T55" s="191"/>
      <c r="U55" s="191"/>
      <c r="V55" s="191"/>
      <c r="W55" s="191"/>
      <c r="X55" s="191"/>
      <c r="Y55" s="191"/>
      <c r="Z55" s="191"/>
      <c r="AA55" s="191"/>
      <c r="AB55" s="191"/>
      <c r="AC55" s="191"/>
      <c r="AD55" s="191"/>
      <c r="AE55" s="191"/>
      <c r="AF55" s="191"/>
      <c r="AG55" s="191"/>
      <c r="AH55" s="191"/>
      <c r="AI55" s="191"/>
      <c r="AJ55" s="191"/>
      <c r="AK55" s="191"/>
      <c r="AL55" s="191"/>
      <c r="AM55" s="191"/>
      <c r="AN55" s="191"/>
      <c r="AO55" s="191"/>
      <c r="AP55" s="192"/>
      <c r="AQ55" s="192"/>
    </row>
    <row r="56" spans="1:43" s="56" customFormat="1" hidden="1">
      <c r="A56" s="94"/>
      <c r="B56" s="94"/>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66"/>
      <c r="AQ56" s="66"/>
    </row>
    <row r="57" spans="1:43" s="56" customFormat="1" hidden="1">
      <c r="A57" s="94"/>
      <c r="B57" s="94"/>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66"/>
      <c r="AQ57" s="66"/>
    </row>
    <row r="58" spans="1:43" s="56" customFormat="1" hidden="1">
      <c r="A58" s="94"/>
      <c r="B58" s="94"/>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66"/>
      <c r="AQ58" s="66"/>
    </row>
    <row r="59" spans="1:43" s="56" customFormat="1" hidden="1">
      <c r="A59" s="94"/>
      <c r="B59" s="94"/>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66"/>
      <c r="AQ59" s="66"/>
    </row>
    <row r="60" spans="1:43" s="56" customFormat="1" hidden="1">
      <c r="A60" s="94"/>
      <c r="B60" s="94"/>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66"/>
      <c r="AQ60" s="66"/>
    </row>
    <row r="61" spans="1:43" s="56" customFormat="1" hidden="1">
      <c r="A61" s="94"/>
      <c r="B61" s="94"/>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66"/>
      <c r="AQ61" s="66"/>
    </row>
    <row r="62" spans="1:43" s="56" customFormat="1" hidden="1">
      <c r="A62" s="94"/>
      <c r="B62" s="94"/>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66"/>
      <c r="AQ62" s="66"/>
    </row>
    <row r="63" spans="1:43" s="56" customFormat="1" hidden="1">
      <c r="A63" s="94"/>
      <c r="B63" s="94"/>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66"/>
      <c r="AQ63" s="66"/>
    </row>
    <row r="64" spans="1:43" s="56" customFormat="1" hidden="1">
      <c r="A64" s="94"/>
      <c r="B64" s="94"/>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66"/>
      <c r="AQ64" s="66"/>
    </row>
    <row r="65" spans="1:43" s="56" customFormat="1" hidden="1">
      <c r="A65" s="94"/>
      <c r="B65" s="94"/>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66"/>
      <c r="AQ65" s="66"/>
    </row>
    <row r="66" spans="1:43" s="56" customFormat="1" hidden="1">
      <c r="A66" s="94"/>
      <c r="B66" s="94"/>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66"/>
      <c r="AQ66" s="66"/>
    </row>
    <row r="67" spans="1:43" s="56" customFormat="1" hidden="1">
      <c r="A67" s="94"/>
      <c r="B67" s="94"/>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66"/>
      <c r="AQ67" s="66"/>
    </row>
    <row r="68" spans="1:43" s="56" customFormat="1" hidden="1">
      <c r="A68" s="94"/>
      <c r="B68" s="94"/>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66"/>
      <c r="AQ68" s="66"/>
    </row>
    <row r="69" spans="1:43" s="56" customFormat="1" hidden="1">
      <c r="A69" s="94"/>
      <c r="B69" s="94"/>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66"/>
      <c r="AQ69" s="66"/>
    </row>
    <row r="70" spans="1:43" s="56" customFormat="1" hidden="1">
      <c r="A70" s="94"/>
      <c r="B70" s="94"/>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66"/>
      <c r="AQ70" s="66"/>
    </row>
    <row r="71" spans="1:43" s="56" customFormat="1" hidden="1">
      <c r="A71" s="94"/>
      <c r="B71" s="94"/>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66" t="s">
        <v>93</v>
      </c>
      <c r="AQ71" s="66"/>
    </row>
    <row r="72" spans="1:43" s="56" customFormat="1" hidden="1">
      <c r="A72" s="94"/>
      <c r="B72" s="94"/>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66" t="s">
        <v>93</v>
      </c>
      <c r="AQ72" s="66"/>
    </row>
    <row r="73" spans="1:43" s="56" customFormat="1" ht="13.5" hidden="1" customHeight="1">
      <c r="A73" s="62"/>
      <c r="B73" s="62"/>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4"/>
      <c r="AC73" s="74"/>
      <c r="AD73" s="74"/>
      <c r="AE73" s="74"/>
      <c r="AF73" s="74"/>
      <c r="AG73" s="74"/>
      <c r="AH73" s="74"/>
      <c r="AI73" s="74"/>
      <c r="AJ73" s="74"/>
      <c r="AK73" s="74"/>
      <c r="AL73" s="74"/>
      <c r="AM73" s="74"/>
      <c r="AN73" s="74"/>
      <c r="AO73" s="74"/>
      <c r="AP73" s="66" t="s">
        <v>93</v>
      </c>
      <c r="AQ73" s="66"/>
    </row>
    <row r="74" spans="1:43" s="56" customFormat="1" ht="13.5" customHeight="1">
      <c r="A74" s="62" t="s">
        <v>129</v>
      </c>
      <c r="B74" s="62">
        <v>1</v>
      </c>
      <c r="C74" s="73"/>
      <c r="D74" s="73"/>
      <c r="E74" s="178">
        <v>1</v>
      </c>
      <c r="F74" s="174">
        <v>0</v>
      </c>
      <c r="G74" s="174">
        <v>0</v>
      </c>
      <c r="H74" s="174">
        <v>0</v>
      </c>
      <c r="I74" s="174">
        <v>0</v>
      </c>
      <c r="J74" s="174">
        <v>0</v>
      </c>
      <c r="K74" s="174">
        <v>0</v>
      </c>
      <c r="L74" s="178">
        <v>1</v>
      </c>
      <c r="M74" s="174">
        <v>0</v>
      </c>
      <c r="N74" s="178">
        <v>1</v>
      </c>
      <c r="O74" s="174">
        <v>0</v>
      </c>
      <c r="P74" s="174">
        <v>0</v>
      </c>
      <c r="Q74" s="174">
        <v>0</v>
      </c>
      <c r="R74" s="178">
        <v>1</v>
      </c>
      <c r="S74" s="174">
        <v>0</v>
      </c>
      <c r="T74" s="178">
        <v>1</v>
      </c>
      <c r="U74" s="174">
        <v>0</v>
      </c>
      <c r="V74" s="174">
        <v>0</v>
      </c>
      <c r="W74" s="174">
        <v>0</v>
      </c>
      <c r="X74" s="178">
        <v>1</v>
      </c>
      <c r="Y74" s="178">
        <v>1</v>
      </c>
      <c r="Z74" s="73"/>
      <c r="AA74" s="73"/>
      <c r="AB74" s="74"/>
      <c r="AC74" s="74"/>
      <c r="AD74" s="74"/>
      <c r="AE74" s="74"/>
      <c r="AF74" s="74"/>
      <c r="AG74" s="74"/>
      <c r="AH74" s="74"/>
      <c r="AI74" s="74"/>
      <c r="AJ74" s="74"/>
      <c r="AK74" s="74"/>
      <c r="AL74" s="74"/>
      <c r="AM74" s="74"/>
      <c r="AN74" s="74"/>
      <c r="AO74" s="74"/>
      <c r="AP74" s="66"/>
      <c r="AQ74" s="66"/>
    </row>
    <row r="75" spans="1:43" s="56" customFormat="1" ht="32.25" customHeight="1">
      <c r="A75" s="95" t="s">
        <v>130</v>
      </c>
      <c r="B75" s="96"/>
      <c r="C75" s="75"/>
      <c r="D75" s="75"/>
      <c r="E75" s="75"/>
      <c r="F75" s="75"/>
      <c r="G75" s="75"/>
      <c r="H75" s="75"/>
      <c r="I75" s="75"/>
      <c r="J75" s="75"/>
      <c r="K75" s="75"/>
      <c r="L75" s="75"/>
      <c r="M75" s="75"/>
      <c r="N75" s="75"/>
      <c r="O75" s="75"/>
      <c r="P75" s="75"/>
      <c r="Q75" s="75"/>
      <c r="R75" s="75"/>
      <c r="S75" s="75"/>
      <c r="T75" s="75"/>
      <c r="U75" s="75"/>
      <c r="V75" s="75"/>
      <c r="W75" s="75"/>
      <c r="X75" s="75"/>
      <c r="Y75" s="75"/>
      <c r="Z75" s="76"/>
      <c r="AA75" s="76"/>
      <c r="AB75" s="76"/>
      <c r="AC75" s="76"/>
      <c r="AD75" s="76"/>
      <c r="AE75" s="76"/>
      <c r="AF75" s="76"/>
      <c r="AG75" s="76"/>
      <c r="AH75" s="76"/>
      <c r="AI75" s="76"/>
      <c r="AJ75" s="76"/>
      <c r="AK75" s="76"/>
      <c r="AL75" s="76"/>
      <c r="AM75" s="76"/>
      <c r="AN75" s="76"/>
      <c r="AO75" s="76"/>
      <c r="AP75" s="66" t="s">
        <v>93</v>
      </c>
      <c r="AQ75" s="66"/>
    </row>
    <row r="76" spans="1:43" s="56" customFormat="1">
      <c r="A76" s="91" t="s">
        <v>94</v>
      </c>
      <c r="B76" s="91"/>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6" t="s">
        <v>93</v>
      </c>
      <c r="AQ76" s="66"/>
    </row>
    <row r="77" spans="1:43" s="60" customFormat="1">
      <c r="A77" s="89" t="s">
        <v>95</v>
      </c>
      <c r="B77" s="89"/>
      <c r="C77" s="77">
        <v>0.9</v>
      </c>
      <c r="D77" s="77">
        <v>0.9</v>
      </c>
      <c r="E77" s="77">
        <v>0.9</v>
      </c>
      <c r="F77" s="77">
        <v>0.9</v>
      </c>
      <c r="G77" s="77">
        <v>0.9</v>
      </c>
      <c r="H77" s="77">
        <v>0.9</v>
      </c>
      <c r="I77" s="77">
        <v>0.9</v>
      </c>
      <c r="J77" s="77">
        <v>0.9</v>
      </c>
      <c r="K77" s="77">
        <v>0.9</v>
      </c>
      <c r="L77" s="77">
        <v>0.9</v>
      </c>
      <c r="M77" s="77">
        <v>0.9</v>
      </c>
      <c r="N77" s="77">
        <v>0.9</v>
      </c>
      <c r="O77" s="77">
        <v>0.9</v>
      </c>
      <c r="P77" s="77">
        <v>0.9</v>
      </c>
      <c r="Q77" s="77">
        <v>0.9</v>
      </c>
      <c r="R77" s="77">
        <v>0.9</v>
      </c>
      <c r="S77" s="77">
        <v>0.9</v>
      </c>
      <c r="T77" s="77">
        <v>0.9</v>
      </c>
      <c r="U77" s="77">
        <v>0.9</v>
      </c>
      <c r="V77" s="77">
        <v>0.9</v>
      </c>
      <c r="W77" s="77">
        <v>0.9</v>
      </c>
      <c r="X77" s="77">
        <v>0.9</v>
      </c>
      <c r="Y77" s="77">
        <v>0.9</v>
      </c>
      <c r="Z77" s="77">
        <v>0.9</v>
      </c>
      <c r="AA77" s="77">
        <v>0.9</v>
      </c>
      <c r="AB77" s="77">
        <v>0.9</v>
      </c>
      <c r="AC77" s="77">
        <v>0.9</v>
      </c>
      <c r="AD77" s="77">
        <v>0.9</v>
      </c>
      <c r="AE77" s="77">
        <v>0.9</v>
      </c>
      <c r="AF77" s="77">
        <v>0.9</v>
      </c>
      <c r="AG77" s="77">
        <v>0.9</v>
      </c>
      <c r="AH77" s="77">
        <v>0.9</v>
      </c>
      <c r="AI77" s="77">
        <v>0.9</v>
      </c>
      <c r="AJ77" s="77">
        <v>0.9</v>
      </c>
      <c r="AK77" s="77">
        <v>0.9</v>
      </c>
      <c r="AL77" s="77">
        <v>0.9</v>
      </c>
      <c r="AM77" s="77">
        <v>0.9</v>
      </c>
      <c r="AN77" s="77">
        <v>0.9</v>
      </c>
      <c r="AO77" s="77">
        <v>0.9</v>
      </c>
      <c r="AP77" s="70" t="s">
        <v>93</v>
      </c>
      <c r="AQ77" s="70"/>
    </row>
    <row r="78" spans="1:43" s="56" customFormat="1">
      <c r="A78" s="90" t="s">
        <v>97</v>
      </c>
      <c r="B78" s="90"/>
      <c r="C78" s="78"/>
      <c r="D78" s="78">
        <v>1</v>
      </c>
      <c r="E78" s="78">
        <v>1</v>
      </c>
      <c r="F78" s="78">
        <v>1</v>
      </c>
      <c r="G78" s="78">
        <v>1</v>
      </c>
      <c r="H78" s="78">
        <v>1</v>
      </c>
      <c r="I78" s="78">
        <v>1</v>
      </c>
      <c r="J78" s="78">
        <v>1</v>
      </c>
      <c r="K78" s="78">
        <v>1</v>
      </c>
      <c r="L78" s="78">
        <v>1</v>
      </c>
      <c r="M78" s="78">
        <v>1</v>
      </c>
      <c r="N78" s="78">
        <v>1</v>
      </c>
      <c r="O78" s="78">
        <v>1</v>
      </c>
      <c r="P78" s="78">
        <v>1</v>
      </c>
      <c r="Q78" s="78">
        <v>1</v>
      </c>
      <c r="R78" s="78">
        <v>1</v>
      </c>
      <c r="S78" s="78">
        <v>1</v>
      </c>
      <c r="T78" s="78">
        <v>1</v>
      </c>
      <c r="U78" s="78">
        <v>1</v>
      </c>
      <c r="V78" s="78">
        <v>1</v>
      </c>
      <c r="W78" s="78">
        <v>1</v>
      </c>
      <c r="X78" s="78">
        <v>1</v>
      </c>
      <c r="Y78" s="78">
        <v>1</v>
      </c>
      <c r="Z78" s="78">
        <v>1</v>
      </c>
      <c r="AA78" s="78">
        <v>1</v>
      </c>
      <c r="AB78" s="78">
        <v>1</v>
      </c>
      <c r="AC78" s="78">
        <v>1</v>
      </c>
      <c r="AD78" s="78">
        <v>1</v>
      </c>
      <c r="AE78" s="78">
        <v>1</v>
      </c>
      <c r="AF78" s="78">
        <v>1</v>
      </c>
      <c r="AG78" s="78">
        <v>1</v>
      </c>
      <c r="AH78" s="78">
        <v>1</v>
      </c>
      <c r="AI78" s="78">
        <v>1</v>
      </c>
      <c r="AJ78" s="78">
        <v>1</v>
      </c>
      <c r="AK78" s="78">
        <v>1</v>
      </c>
      <c r="AL78" s="78">
        <v>1</v>
      </c>
      <c r="AM78" s="78">
        <v>1</v>
      </c>
      <c r="AN78" s="78">
        <v>1</v>
      </c>
      <c r="AO78" s="78">
        <v>1</v>
      </c>
      <c r="AP78" s="66" t="s">
        <v>93</v>
      </c>
      <c r="AQ78" s="66"/>
    </row>
    <row r="79" spans="1:43" s="56" customFormat="1">
      <c r="A79" s="61" t="s">
        <v>131</v>
      </c>
      <c r="B79" s="61"/>
      <c r="C79" s="71"/>
      <c r="D79" s="177">
        <v>0.5</v>
      </c>
      <c r="E79" s="177">
        <v>0.5</v>
      </c>
      <c r="F79" s="177">
        <v>0.5</v>
      </c>
      <c r="G79" s="177">
        <v>0.5</v>
      </c>
      <c r="H79" s="177">
        <v>0.5</v>
      </c>
      <c r="I79" s="177">
        <v>0.5</v>
      </c>
      <c r="J79" s="177">
        <v>0.5</v>
      </c>
      <c r="K79" s="177">
        <v>0.5</v>
      </c>
      <c r="L79" s="177">
        <v>0.5</v>
      </c>
      <c r="M79" s="177">
        <v>0.5</v>
      </c>
      <c r="N79" s="177">
        <v>0.5</v>
      </c>
      <c r="O79" s="177">
        <v>0.5</v>
      </c>
      <c r="P79" s="177">
        <v>0.5</v>
      </c>
      <c r="Q79" s="177">
        <v>0.5</v>
      </c>
      <c r="R79" s="177">
        <v>0.5</v>
      </c>
      <c r="S79" s="177">
        <v>0.5</v>
      </c>
      <c r="T79" s="177">
        <v>0.5</v>
      </c>
      <c r="U79" s="177">
        <v>0.5</v>
      </c>
      <c r="V79" s="177">
        <v>0.5</v>
      </c>
      <c r="W79" s="177">
        <v>0.5</v>
      </c>
      <c r="X79" s="177">
        <v>0.5</v>
      </c>
      <c r="Y79" s="177">
        <v>0.5</v>
      </c>
      <c r="Z79" s="177">
        <v>0.5</v>
      </c>
      <c r="AA79" s="177">
        <v>0.5</v>
      </c>
      <c r="AB79" s="177">
        <v>0.5</v>
      </c>
      <c r="AC79" s="177">
        <v>0.5</v>
      </c>
      <c r="AD79" s="177">
        <v>0.5</v>
      </c>
      <c r="AE79" s="177">
        <v>0.5</v>
      </c>
      <c r="AF79" s="177">
        <v>0.5</v>
      </c>
      <c r="AG79" s="177">
        <v>0.5</v>
      </c>
      <c r="AH79" s="177">
        <v>0.5</v>
      </c>
      <c r="AI79" s="177">
        <v>0.5</v>
      </c>
      <c r="AJ79" s="177">
        <v>0.5</v>
      </c>
      <c r="AK79" s="177">
        <v>0.5</v>
      </c>
      <c r="AL79" s="177">
        <v>0.5</v>
      </c>
      <c r="AM79" s="177">
        <v>0.5</v>
      </c>
      <c r="AN79" s="177">
        <v>0.5</v>
      </c>
      <c r="AO79" s="177">
        <v>0.5</v>
      </c>
      <c r="AP79" s="66" t="s">
        <v>93</v>
      </c>
      <c r="AQ79" s="66"/>
    </row>
    <row r="80" spans="1:43" s="56" customFormat="1">
      <c r="A80" s="61" t="s">
        <v>99</v>
      </c>
      <c r="B80" s="61">
        <v>10</v>
      </c>
      <c r="C80" s="71"/>
      <c r="D80" s="71">
        <v>10</v>
      </c>
      <c r="E80" s="71">
        <v>10</v>
      </c>
      <c r="F80" s="71">
        <v>10</v>
      </c>
      <c r="G80" s="71">
        <v>10</v>
      </c>
      <c r="H80" s="71">
        <v>10</v>
      </c>
      <c r="I80" s="71">
        <v>10</v>
      </c>
      <c r="J80" s="71">
        <v>10</v>
      </c>
      <c r="K80" s="71">
        <v>10</v>
      </c>
      <c r="L80" s="71">
        <v>10</v>
      </c>
      <c r="M80" s="71">
        <v>10</v>
      </c>
      <c r="N80" s="71">
        <v>10</v>
      </c>
      <c r="O80" s="71">
        <v>10</v>
      </c>
      <c r="P80" s="71">
        <v>10</v>
      </c>
      <c r="Q80" s="71">
        <v>10</v>
      </c>
      <c r="R80" s="71">
        <v>10</v>
      </c>
      <c r="S80" s="71">
        <v>10</v>
      </c>
      <c r="T80" s="71">
        <v>10</v>
      </c>
      <c r="U80" s="71">
        <v>10</v>
      </c>
      <c r="V80" s="71">
        <v>10</v>
      </c>
      <c r="W80" s="71">
        <v>10</v>
      </c>
      <c r="X80" s="71">
        <v>10</v>
      </c>
      <c r="Y80" s="71">
        <v>10</v>
      </c>
      <c r="Z80" s="71">
        <v>10</v>
      </c>
      <c r="AA80" s="71">
        <v>10</v>
      </c>
      <c r="AB80" s="71">
        <v>10</v>
      </c>
      <c r="AC80" s="71">
        <v>10</v>
      </c>
      <c r="AD80" s="71">
        <v>10</v>
      </c>
      <c r="AE80" s="71">
        <v>10</v>
      </c>
      <c r="AF80" s="71">
        <v>10</v>
      </c>
      <c r="AG80" s="71">
        <v>10</v>
      </c>
      <c r="AH80" s="71">
        <v>10</v>
      </c>
      <c r="AI80" s="71">
        <v>10</v>
      </c>
      <c r="AJ80" s="71">
        <v>10</v>
      </c>
      <c r="AK80" s="71">
        <v>10</v>
      </c>
      <c r="AL80" s="71">
        <v>10</v>
      </c>
      <c r="AM80" s="71">
        <v>10</v>
      </c>
      <c r="AN80" s="71">
        <v>10</v>
      </c>
      <c r="AO80" s="71">
        <v>10</v>
      </c>
      <c r="AP80" s="66" t="s">
        <v>93</v>
      </c>
      <c r="AQ80" s="66"/>
    </row>
    <row r="81" spans="1:43" s="56" customFormat="1" hidden="1">
      <c r="A81" s="91" t="s">
        <v>100</v>
      </c>
      <c r="B81" s="91"/>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6" t="s">
        <v>93</v>
      </c>
      <c r="AQ81" s="66"/>
    </row>
    <row r="82" spans="1:43" s="56" customFormat="1" hidden="1">
      <c r="A82" s="61" t="s">
        <v>102</v>
      </c>
      <c r="B82" s="6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66" t="s">
        <v>93</v>
      </c>
      <c r="AQ82" s="66"/>
    </row>
    <row r="83" spans="1:43" s="56" customFormat="1" hidden="1">
      <c r="A83" s="61" t="s">
        <v>104</v>
      </c>
      <c r="B83" s="6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66" t="s">
        <v>93</v>
      </c>
      <c r="AQ83" s="66"/>
    </row>
    <row r="84" spans="1:43" s="56" customFormat="1" hidden="1">
      <c r="A84" s="92" t="s">
        <v>105</v>
      </c>
      <c r="B84" s="92"/>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66" t="s">
        <v>93</v>
      </c>
      <c r="AQ84" s="66"/>
    </row>
    <row r="85" spans="1:43" s="56" customFormat="1" hidden="1">
      <c r="A85" s="92" t="s">
        <v>106</v>
      </c>
      <c r="B85" s="92"/>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66" t="s">
        <v>93</v>
      </c>
      <c r="AQ85" s="66"/>
    </row>
    <row r="86" spans="1:43" s="56" customFormat="1">
      <c r="A86" s="92" t="s">
        <v>107</v>
      </c>
      <c r="B86" s="92"/>
      <c r="C86" s="79"/>
      <c r="D86" s="79"/>
      <c r="E86" s="79"/>
      <c r="F86" s="79"/>
      <c r="G86" s="79"/>
      <c r="H86" s="79"/>
      <c r="I86" s="79"/>
      <c r="J86" s="79"/>
      <c r="K86" s="79"/>
      <c r="L86" s="79"/>
      <c r="M86" s="79"/>
      <c r="N86" s="79"/>
      <c r="O86" s="79"/>
      <c r="P86" s="79"/>
      <c r="Q86" s="79"/>
      <c r="R86" s="210">
        <v>12</v>
      </c>
      <c r="S86" s="210">
        <v>24</v>
      </c>
      <c r="T86" s="210">
        <v>36</v>
      </c>
      <c r="U86" s="210">
        <v>48</v>
      </c>
      <c r="V86" s="210">
        <v>60</v>
      </c>
      <c r="W86" s="210">
        <v>72</v>
      </c>
      <c r="X86" s="210">
        <v>84</v>
      </c>
      <c r="Y86" s="210">
        <v>96</v>
      </c>
      <c r="Z86" s="210">
        <v>108</v>
      </c>
      <c r="AA86" s="210">
        <v>120</v>
      </c>
      <c r="AB86" s="210">
        <v>132</v>
      </c>
      <c r="AC86" s="210">
        <v>144</v>
      </c>
      <c r="AD86" s="210">
        <v>156</v>
      </c>
      <c r="AE86" s="210"/>
      <c r="AF86" s="79"/>
      <c r="AG86" s="79"/>
      <c r="AH86" s="79"/>
      <c r="AI86" s="79"/>
      <c r="AJ86" s="79"/>
      <c r="AK86" s="79"/>
      <c r="AL86" s="79"/>
      <c r="AM86" s="79"/>
      <c r="AN86" s="79"/>
      <c r="AO86" s="79"/>
      <c r="AP86" s="66"/>
      <c r="AQ86" s="66"/>
    </row>
    <row r="87" spans="1:43" s="56" customFormat="1">
      <c r="A87" s="97" t="s">
        <v>108</v>
      </c>
      <c r="B87" s="97"/>
      <c r="C87" s="67"/>
      <c r="D87" s="67"/>
      <c r="E87" s="67"/>
      <c r="F87" s="67"/>
      <c r="G87" s="67"/>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7"/>
      <c r="AI87" s="67"/>
      <c r="AJ87" s="67"/>
      <c r="AK87" s="67"/>
      <c r="AL87" s="67"/>
      <c r="AM87" s="67"/>
      <c r="AN87" s="67"/>
      <c r="AO87" s="67"/>
      <c r="AP87" s="66" t="s">
        <v>93</v>
      </c>
      <c r="AQ87" s="66"/>
    </row>
    <row r="88" spans="1:43" s="56" customFormat="1">
      <c r="A88" s="61" t="s">
        <v>109</v>
      </c>
      <c r="B88" s="61">
        <v>7</v>
      </c>
      <c r="C88" s="80"/>
      <c r="D88" s="80">
        <v>7</v>
      </c>
      <c r="E88" s="80">
        <v>7</v>
      </c>
      <c r="F88" s="80">
        <v>7</v>
      </c>
      <c r="G88" s="80">
        <v>7</v>
      </c>
      <c r="H88" s="80">
        <v>7</v>
      </c>
      <c r="I88" s="80">
        <v>7</v>
      </c>
      <c r="J88" s="80">
        <v>7</v>
      </c>
      <c r="K88" s="80">
        <v>7</v>
      </c>
      <c r="L88" s="80">
        <v>7</v>
      </c>
      <c r="M88" s="80">
        <v>7</v>
      </c>
      <c r="N88" s="80">
        <v>7</v>
      </c>
      <c r="O88" s="80">
        <v>7</v>
      </c>
      <c r="P88" s="80">
        <v>7</v>
      </c>
      <c r="Q88" s="80">
        <v>7</v>
      </c>
      <c r="R88" s="80">
        <v>7</v>
      </c>
      <c r="S88" s="80">
        <v>7</v>
      </c>
      <c r="T88" s="80">
        <v>7</v>
      </c>
      <c r="U88" s="80">
        <v>7</v>
      </c>
      <c r="V88" s="80">
        <v>7</v>
      </c>
      <c r="W88" s="80">
        <v>7</v>
      </c>
      <c r="X88" s="80">
        <v>7</v>
      </c>
      <c r="Y88" s="80">
        <v>7</v>
      </c>
      <c r="Z88" s="80">
        <v>7</v>
      </c>
      <c r="AA88" s="80">
        <v>7</v>
      </c>
      <c r="AB88" s="80">
        <v>7</v>
      </c>
      <c r="AC88" s="80">
        <v>7</v>
      </c>
      <c r="AD88" s="80">
        <v>7</v>
      </c>
      <c r="AE88" s="80">
        <v>7</v>
      </c>
      <c r="AF88" s="80">
        <v>7</v>
      </c>
      <c r="AG88" s="80">
        <v>7</v>
      </c>
      <c r="AH88" s="80">
        <v>7</v>
      </c>
      <c r="AI88" s="80">
        <v>7</v>
      </c>
      <c r="AJ88" s="80">
        <v>7</v>
      </c>
      <c r="AK88" s="80">
        <v>7</v>
      </c>
      <c r="AL88" s="80">
        <v>7</v>
      </c>
      <c r="AM88" s="80">
        <v>7</v>
      </c>
      <c r="AN88" s="80">
        <v>7</v>
      </c>
      <c r="AO88" s="80">
        <v>7</v>
      </c>
      <c r="AP88" s="81" t="s">
        <v>93</v>
      </c>
      <c r="AQ88" s="66"/>
    </row>
    <row r="89" spans="1:43" s="56" customFormat="1" hidden="1">
      <c r="A89" s="97" t="s">
        <v>110</v>
      </c>
      <c r="B89" s="97"/>
      <c r="C89" s="82"/>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c r="AE89" s="82"/>
      <c r="AF89" s="82"/>
      <c r="AG89" s="82"/>
      <c r="AH89" s="82"/>
      <c r="AI89" s="82"/>
      <c r="AJ89" s="82"/>
      <c r="AK89" s="82"/>
      <c r="AL89" s="82"/>
      <c r="AM89" s="82"/>
      <c r="AN89" s="82"/>
      <c r="AO89" s="82"/>
      <c r="AP89" s="81" t="s">
        <v>93</v>
      </c>
      <c r="AQ89" s="66"/>
    </row>
    <row r="90" spans="1:43" s="56" customFormat="1" hidden="1">
      <c r="A90" s="61" t="s">
        <v>112</v>
      </c>
      <c r="B90" s="61"/>
      <c r="C90" s="80"/>
      <c r="D90" s="80"/>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c r="AP90" s="81" t="s">
        <v>93</v>
      </c>
      <c r="AQ90" s="66"/>
    </row>
    <row r="91" spans="1:43" s="56" customFormat="1" hidden="1">
      <c r="A91" s="61" t="s">
        <v>112</v>
      </c>
      <c r="B91" s="61"/>
      <c r="C91" s="80"/>
      <c r="D91" s="80"/>
      <c r="E91" s="80"/>
      <c r="F91" s="80"/>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c r="AP91" s="81" t="s">
        <v>93</v>
      </c>
      <c r="AQ91" s="66"/>
    </row>
    <row r="92" spans="1:43" s="56" customFormat="1" hidden="1">
      <c r="A92" s="61" t="s">
        <v>112</v>
      </c>
      <c r="B92" s="61"/>
      <c r="C92" s="80"/>
      <c r="D92" s="80"/>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1" t="s">
        <v>93</v>
      </c>
      <c r="AQ92" s="66"/>
    </row>
    <row r="93" spans="1:43" s="56" customFormat="1">
      <c r="A93" s="97" t="s">
        <v>113</v>
      </c>
      <c r="B93" s="97"/>
      <c r="C93" s="82"/>
      <c r="D93" s="82"/>
      <c r="E93" s="82"/>
      <c r="F93" s="82"/>
      <c r="G93" s="82"/>
      <c r="H93" s="82"/>
      <c r="I93" s="82"/>
      <c r="J93" s="82"/>
      <c r="K93" s="82"/>
      <c r="L93" s="82"/>
      <c r="M93" s="82"/>
      <c r="N93" s="82"/>
      <c r="O93" s="82"/>
      <c r="P93" s="82"/>
      <c r="Q93" s="82"/>
      <c r="R93" s="82"/>
      <c r="S93" s="82"/>
      <c r="T93" s="82"/>
      <c r="U93" s="82"/>
      <c r="V93" s="82"/>
      <c r="W93" s="82"/>
      <c r="X93" s="82"/>
      <c r="Y93" s="82"/>
      <c r="Z93" s="82"/>
      <c r="AA93" s="82"/>
      <c r="AB93" s="82"/>
      <c r="AC93" s="82"/>
      <c r="AD93" s="82"/>
      <c r="AE93" s="82"/>
      <c r="AF93" s="82"/>
      <c r="AG93" s="82"/>
      <c r="AH93" s="82"/>
      <c r="AI93" s="82"/>
      <c r="AJ93" s="82"/>
      <c r="AK93" s="82"/>
      <c r="AL93" s="82"/>
      <c r="AM93" s="82"/>
      <c r="AN93" s="82"/>
      <c r="AO93" s="82"/>
      <c r="AP93" s="81" t="s">
        <v>93</v>
      </c>
      <c r="AQ93" s="66"/>
    </row>
    <row r="94" spans="1:43" s="56" customFormat="1">
      <c r="A94" s="63" t="s">
        <v>114</v>
      </c>
      <c r="B94" s="64"/>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row>
    <row r="95" spans="1:43" s="56" customFormat="1">
      <c r="A95" s="61" t="s">
        <v>31</v>
      </c>
      <c r="B95" s="62">
        <v>0</v>
      </c>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row>
    <row r="96" spans="1:43" s="56" customFormat="1">
      <c r="A96" s="61" t="s">
        <v>32</v>
      </c>
      <c r="B96" s="62">
        <v>0</v>
      </c>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row>
    <row r="97" spans="1:43" s="56" customFormat="1">
      <c r="A97" s="61" t="s">
        <v>33</v>
      </c>
      <c r="B97" s="62"/>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row>
    <row r="98" spans="1:43" s="56" customFormat="1">
      <c r="A98" s="61" t="s">
        <v>34</v>
      </c>
      <c r="B98" s="62">
        <v>3.63</v>
      </c>
      <c r="C98" s="66"/>
      <c r="D98" s="66"/>
      <c r="E98" s="66"/>
      <c r="F98" s="66"/>
      <c r="G98" s="66"/>
      <c r="H98" s="66"/>
      <c r="I98" s="66"/>
      <c r="J98" s="66"/>
      <c r="K98" s="66"/>
      <c r="L98" s="66"/>
      <c r="M98" s="66"/>
      <c r="N98" s="66"/>
      <c r="O98" s="66">
        <v>2.31</v>
      </c>
      <c r="P98" s="66">
        <v>3.66</v>
      </c>
      <c r="Q98" s="66">
        <v>3.66</v>
      </c>
      <c r="R98" s="66">
        <v>3.66</v>
      </c>
      <c r="S98" s="66">
        <v>3.66</v>
      </c>
      <c r="T98" s="66">
        <v>3.66</v>
      </c>
      <c r="U98" s="66">
        <v>2</v>
      </c>
      <c r="V98" s="66">
        <v>2</v>
      </c>
      <c r="W98" s="66">
        <v>2.66</v>
      </c>
      <c r="X98" s="66">
        <v>2.33</v>
      </c>
      <c r="Y98" s="66">
        <v>1.83</v>
      </c>
      <c r="Z98" s="66">
        <v>1.83</v>
      </c>
      <c r="AA98" s="66">
        <v>1.83</v>
      </c>
      <c r="AB98" s="66"/>
      <c r="AC98" s="66"/>
      <c r="AD98" s="66"/>
      <c r="AE98" s="66"/>
      <c r="AF98" s="66"/>
      <c r="AG98" s="66"/>
      <c r="AH98" s="66"/>
      <c r="AI98" s="66"/>
      <c r="AJ98" s="66"/>
      <c r="AK98" s="66"/>
      <c r="AL98" s="66"/>
      <c r="AM98" s="66"/>
      <c r="AN98" s="66"/>
      <c r="AO98" s="66"/>
      <c r="AP98" s="66"/>
      <c r="AQ98" s="66"/>
    </row>
    <row r="99" spans="1:43" s="56" customFormat="1">
      <c r="A99" s="61" t="s">
        <v>35</v>
      </c>
      <c r="B99" s="62">
        <v>3.63</v>
      </c>
      <c r="C99" s="66"/>
      <c r="D99" s="66"/>
      <c r="E99" s="66"/>
      <c r="F99" s="66"/>
      <c r="G99" s="66"/>
      <c r="H99" s="66"/>
      <c r="I99" s="66"/>
      <c r="J99" s="66"/>
      <c r="K99" s="66"/>
      <c r="L99" s="66"/>
      <c r="M99" s="66"/>
      <c r="N99" s="66"/>
      <c r="O99" s="66">
        <v>2.31</v>
      </c>
      <c r="P99" s="66">
        <v>3.66</v>
      </c>
      <c r="Q99" s="66">
        <v>3.66</v>
      </c>
      <c r="R99" s="66">
        <v>3.66</v>
      </c>
      <c r="S99" s="66">
        <v>3.66</v>
      </c>
      <c r="T99" s="66">
        <v>3.66</v>
      </c>
      <c r="U99" s="66">
        <v>2</v>
      </c>
      <c r="V99" s="66">
        <v>2</v>
      </c>
      <c r="W99" s="66">
        <v>2.66</v>
      </c>
      <c r="X99" s="66">
        <v>2.33</v>
      </c>
      <c r="Y99" s="66">
        <v>1.83</v>
      </c>
      <c r="Z99" s="66">
        <v>1.83</v>
      </c>
      <c r="AA99" s="66">
        <v>1.83</v>
      </c>
      <c r="AB99" s="66"/>
      <c r="AC99" s="66"/>
      <c r="AD99" s="66"/>
      <c r="AE99" s="66"/>
      <c r="AF99" s="66"/>
      <c r="AG99" s="66"/>
      <c r="AH99" s="66"/>
      <c r="AI99" s="66"/>
      <c r="AJ99" s="66"/>
      <c r="AK99" s="66"/>
      <c r="AL99" s="66"/>
      <c r="AM99" s="66"/>
      <c r="AN99" s="66"/>
      <c r="AO99" s="66"/>
      <c r="AP99" s="66"/>
      <c r="AQ99" s="66"/>
    </row>
    <row r="100" spans="1:43" s="56" customFormat="1">
      <c r="A100" s="61" t="s">
        <v>36</v>
      </c>
      <c r="B100" s="62"/>
      <c r="C100" s="66"/>
      <c r="D100" s="66"/>
      <c r="E100" s="66"/>
      <c r="F100" s="66"/>
      <c r="G100" s="66"/>
      <c r="H100" s="66"/>
      <c r="I100" s="66"/>
      <c r="J100" s="66"/>
      <c r="K100" s="66"/>
      <c r="L100" s="66"/>
      <c r="M100" s="66"/>
      <c r="N100" s="66"/>
      <c r="O100" s="66">
        <v>2.31</v>
      </c>
      <c r="P100" s="66">
        <v>3.66</v>
      </c>
      <c r="Q100" s="66">
        <v>3.66</v>
      </c>
      <c r="R100" s="66">
        <v>3.66</v>
      </c>
      <c r="S100" s="66">
        <v>3.66</v>
      </c>
      <c r="T100" s="66">
        <v>3.66</v>
      </c>
      <c r="U100" s="66">
        <v>2</v>
      </c>
      <c r="V100" s="66">
        <v>2</v>
      </c>
      <c r="W100" s="66">
        <v>2.66</v>
      </c>
      <c r="X100" s="66">
        <v>2.33</v>
      </c>
      <c r="Y100" s="66">
        <v>1.83</v>
      </c>
      <c r="Z100" s="66">
        <v>1.83</v>
      </c>
      <c r="AA100" s="66">
        <v>1.83</v>
      </c>
      <c r="AB100" s="66"/>
      <c r="AC100" s="66"/>
      <c r="AD100" s="66"/>
      <c r="AE100" s="66"/>
      <c r="AF100" s="66"/>
      <c r="AG100" s="66"/>
      <c r="AH100" s="66"/>
      <c r="AI100" s="66"/>
      <c r="AJ100" s="66"/>
      <c r="AK100" s="66"/>
      <c r="AL100" s="66"/>
      <c r="AM100" s="66"/>
      <c r="AN100" s="66"/>
      <c r="AO100" s="66"/>
      <c r="AP100" s="66"/>
      <c r="AQ100" s="66"/>
    </row>
    <row r="101" spans="1:43" s="56" customFormat="1">
      <c r="A101" s="64" t="s">
        <v>119</v>
      </c>
      <c r="B101" s="64"/>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row>
    <row r="102" spans="1:43" s="56" customFormat="1">
      <c r="A102" s="61" t="s">
        <v>31</v>
      </c>
      <c r="B102" s="62">
        <v>12</v>
      </c>
      <c r="C102" s="66"/>
      <c r="D102" s="66"/>
      <c r="E102" s="66"/>
      <c r="F102" s="66"/>
      <c r="G102" s="66"/>
      <c r="H102" s="66"/>
      <c r="I102" s="66"/>
      <c r="J102" s="66"/>
      <c r="K102" s="66"/>
      <c r="L102" s="66"/>
      <c r="M102" s="66"/>
      <c r="N102" s="66">
        <v>12</v>
      </c>
      <c r="O102" s="66">
        <v>12</v>
      </c>
      <c r="P102" s="66">
        <v>13</v>
      </c>
      <c r="Q102" s="66">
        <v>13</v>
      </c>
      <c r="R102" s="66">
        <v>13</v>
      </c>
      <c r="S102" s="66">
        <v>6</v>
      </c>
      <c r="T102" s="66">
        <v>8</v>
      </c>
      <c r="U102" s="66">
        <v>8</v>
      </c>
      <c r="V102" s="66">
        <v>13</v>
      </c>
      <c r="W102" s="66">
        <v>13</v>
      </c>
      <c r="X102" s="66">
        <v>5</v>
      </c>
      <c r="Y102" s="66">
        <v>13</v>
      </c>
      <c r="Z102" s="66">
        <v>13</v>
      </c>
      <c r="AA102" s="66">
        <v>13</v>
      </c>
      <c r="AB102" s="66">
        <v>13</v>
      </c>
      <c r="AC102" s="66">
        <v>13</v>
      </c>
      <c r="AD102" s="66">
        <v>0</v>
      </c>
      <c r="AE102" s="66">
        <v>0</v>
      </c>
      <c r="AF102" s="66">
        <v>0</v>
      </c>
      <c r="AG102" s="66">
        <v>0</v>
      </c>
      <c r="AH102" s="66">
        <v>0</v>
      </c>
      <c r="AI102" s="66">
        <v>0</v>
      </c>
      <c r="AJ102" s="66">
        <v>0</v>
      </c>
      <c r="AK102" s="66">
        <v>0</v>
      </c>
      <c r="AL102" s="66">
        <v>0</v>
      </c>
      <c r="AM102" s="66">
        <v>0</v>
      </c>
      <c r="AN102" s="66">
        <v>0</v>
      </c>
      <c r="AO102" s="66"/>
      <c r="AP102" s="66"/>
      <c r="AQ102" s="66"/>
    </row>
    <row r="103" spans="1:43" s="56" customFormat="1">
      <c r="A103" s="61" t="s">
        <v>32</v>
      </c>
      <c r="B103" s="62">
        <v>48</v>
      </c>
      <c r="C103" s="66"/>
      <c r="D103" s="66"/>
      <c r="E103" s="66"/>
      <c r="F103" s="66"/>
      <c r="G103" s="66"/>
      <c r="H103" s="66"/>
      <c r="I103" s="66"/>
      <c r="J103" s="66"/>
      <c r="K103" s="66"/>
      <c r="L103" s="66"/>
      <c r="M103" s="66"/>
      <c r="N103" s="66">
        <v>48</v>
      </c>
      <c r="O103" s="66">
        <v>48</v>
      </c>
      <c r="P103" s="66">
        <v>52</v>
      </c>
      <c r="Q103" s="66">
        <v>52</v>
      </c>
      <c r="R103" s="66">
        <v>52</v>
      </c>
      <c r="S103" s="66">
        <v>24</v>
      </c>
      <c r="T103" s="66">
        <v>32</v>
      </c>
      <c r="U103" s="66">
        <v>32</v>
      </c>
      <c r="V103" s="66">
        <v>52</v>
      </c>
      <c r="W103" s="66">
        <v>52</v>
      </c>
      <c r="X103" s="66">
        <v>24</v>
      </c>
      <c r="Y103" s="66">
        <v>52</v>
      </c>
      <c r="Z103" s="66">
        <v>52</v>
      </c>
      <c r="AA103" s="66">
        <v>52</v>
      </c>
      <c r="AB103" s="66">
        <v>52</v>
      </c>
      <c r="AC103" s="66">
        <v>52</v>
      </c>
      <c r="AD103" s="66">
        <v>0</v>
      </c>
      <c r="AE103" s="66">
        <v>0</v>
      </c>
      <c r="AF103" s="66">
        <v>0</v>
      </c>
      <c r="AG103" s="66">
        <v>0</v>
      </c>
      <c r="AH103" s="66">
        <v>0</v>
      </c>
      <c r="AI103" s="66">
        <v>0</v>
      </c>
      <c r="AJ103" s="66">
        <v>0</v>
      </c>
      <c r="AK103" s="66">
        <v>0</v>
      </c>
      <c r="AL103" s="66">
        <v>0</v>
      </c>
      <c r="AM103" s="66">
        <v>0</v>
      </c>
      <c r="AN103" s="66">
        <v>0</v>
      </c>
      <c r="AO103" s="66"/>
      <c r="AP103" s="66"/>
      <c r="AQ103" s="66"/>
    </row>
    <row r="104" spans="1:43" s="56" customFormat="1">
      <c r="A104" s="61" t="s">
        <v>33</v>
      </c>
      <c r="B104" s="62">
        <v>6</v>
      </c>
      <c r="C104" s="66"/>
      <c r="D104" s="66"/>
      <c r="E104" s="66"/>
      <c r="F104" s="66"/>
      <c r="G104" s="66"/>
      <c r="H104" s="66"/>
      <c r="I104" s="66"/>
      <c r="J104" s="66"/>
      <c r="K104" s="66"/>
      <c r="L104" s="66"/>
      <c r="M104" s="66"/>
      <c r="N104" s="66">
        <v>6</v>
      </c>
      <c r="O104" s="66">
        <v>6</v>
      </c>
      <c r="P104" s="66">
        <v>6.5</v>
      </c>
      <c r="Q104" s="66">
        <v>6.5</v>
      </c>
      <c r="R104" s="66">
        <v>6.5</v>
      </c>
      <c r="S104" s="66">
        <v>3</v>
      </c>
      <c r="T104" s="66">
        <v>4</v>
      </c>
      <c r="U104" s="66">
        <v>4</v>
      </c>
      <c r="V104" s="66">
        <v>6.5</v>
      </c>
      <c r="W104" s="66">
        <v>6.5</v>
      </c>
      <c r="X104" s="66">
        <v>2.5</v>
      </c>
      <c r="Y104" s="66">
        <v>6.5</v>
      </c>
      <c r="Z104" s="66">
        <v>6.5</v>
      </c>
      <c r="AA104" s="66">
        <v>6.5</v>
      </c>
      <c r="AB104" s="66">
        <v>6.5</v>
      </c>
      <c r="AC104" s="66">
        <v>6.5</v>
      </c>
      <c r="AD104" s="66">
        <v>0</v>
      </c>
      <c r="AE104" s="66">
        <v>0</v>
      </c>
      <c r="AF104" s="66">
        <v>0</v>
      </c>
      <c r="AG104" s="66">
        <v>0</v>
      </c>
      <c r="AH104" s="66">
        <v>0</v>
      </c>
      <c r="AI104" s="66">
        <v>0</v>
      </c>
      <c r="AJ104" s="66">
        <v>0</v>
      </c>
      <c r="AK104" s="66">
        <v>0</v>
      </c>
      <c r="AL104" s="66">
        <v>0</v>
      </c>
      <c r="AM104" s="66">
        <v>0</v>
      </c>
      <c r="AN104" s="66">
        <v>0</v>
      </c>
      <c r="AO104" s="66"/>
      <c r="AP104" s="66"/>
      <c r="AQ104" s="66"/>
    </row>
    <row r="105" spans="1:43" s="56" customFormat="1">
      <c r="A105" s="61" t="s">
        <v>34</v>
      </c>
      <c r="B105" s="62">
        <v>2.5</v>
      </c>
      <c r="C105" s="66"/>
      <c r="D105" s="66"/>
      <c r="E105" s="66"/>
      <c r="F105" s="66"/>
      <c r="G105" s="66"/>
      <c r="H105" s="66"/>
      <c r="I105" s="66"/>
      <c r="J105" s="66"/>
      <c r="K105" s="66"/>
      <c r="L105" s="66"/>
      <c r="M105" s="66"/>
      <c r="N105" s="66">
        <v>2.5</v>
      </c>
      <c r="O105" s="66">
        <v>2.5</v>
      </c>
      <c r="P105" s="66">
        <v>2.5</v>
      </c>
      <c r="Q105" s="66">
        <v>2.5</v>
      </c>
      <c r="R105" s="66">
        <v>2.5</v>
      </c>
      <c r="S105" s="66">
        <v>1.65</v>
      </c>
      <c r="T105" s="66">
        <v>2.5</v>
      </c>
      <c r="U105" s="66">
        <v>0</v>
      </c>
      <c r="V105" s="66">
        <v>0.7</v>
      </c>
      <c r="W105" s="66">
        <v>0.7</v>
      </c>
      <c r="X105" s="66">
        <v>2.5</v>
      </c>
      <c r="Y105" s="66">
        <v>2.5</v>
      </c>
      <c r="Z105" s="66">
        <v>2.5</v>
      </c>
      <c r="AA105" s="66">
        <v>2.5</v>
      </c>
      <c r="AB105" s="66">
        <v>2.5</v>
      </c>
      <c r="AC105" s="66">
        <v>2.5</v>
      </c>
      <c r="AD105" s="66">
        <v>0</v>
      </c>
      <c r="AE105" s="66">
        <v>0</v>
      </c>
      <c r="AF105" s="66">
        <v>0</v>
      </c>
      <c r="AG105" s="66">
        <v>0</v>
      </c>
      <c r="AH105" s="66">
        <v>0</v>
      </c>
      <c r="AI105" s="66">
        <v>0</v>
      </c>
      <c r="AJ105" s="66">
        <v>0</v>
      </c>
      <c r="AK105" s="66">
        <v>0</v>
      </c>
      <c r="AL105" s="66">
        <v>0</v>
      </c>
      <c r="AM105" s="66">
        <v>0</v>
      </c>
      <c r="AN105" s="66">
        <v>0</v>
      </c>
      <c r="AO105" s="66"/>
      <c r="AP105" s="66"/>
      <c r="AQ105" s="66"/>
    </row>
    <row r="106" spans="1:43" s="56" customFormat="1">
      <c r="A106" s="61" t="s">
        <v>35</v>
      </c>
      <c r="B106" s="62">
        <v>2.5</v>
      </c>
      <c r="C106" s="66"/>
      <c r="D106" s="66"/>
      <c r="E106" s="66"/>
      <c r="F106" s="66"/>
      <c r="G106" s="66"/>
      <c r="H106" s="66"/>
      <c r="I106" s="66"/>
      <c r="J106" s="66"/>
      <c r="K106" s="66"/>
      <c r="L106" s="66"/>
      <c r="M106" s="66"/>
      <c r="N106" s="66">
        <v>2.5</v>
      </c>
      <c r="O106" s="66">
        <v>2.5</v>
      </c>
      <c r="P106" s="66">
        <v>2.5</v>
      </c>
      <c r="Q106" s="66">
        <v>2.5</v>
      </c>
      <c r="R106" s="66">
        <v>2.5</v>
      </c>
      <c r="S106" s="66">
        <v>1.65</v>
      </c>
      <c r="T106" s="66">
        <v>2.5</v>
      </c>
      <c r="U106" s="66">
        <v>0</v>
      </c>
      <c r="V106" s="66">
        <v>0.7</v>
      </c>
      <c r="W106" s="66">
        <v>0.7</v>
      </c>
      <c r="X106" s="66">
        <v>2.5</v>
      </c>
      <c r="Y106" s="66">
        <v>2.5</v>
      </c>
      <c r="Z106" s="66">
        <v>2.5</v>
      </c>
      <c r="AA106" s="66">
        <v>2.5</v>
      </c>
      <c r="AB106" s="66">
        <v>2.5</v>
      </c>
      <c r="AC106" s="66">
        <v>2.5</v>
      </c>
      <c r="AD106" s="66">
        <v>0</v>
      </c>
      <c r="AE106" s="66">
        <v>0</v>
      </c>
      <c r="AF106" s="66">
        <v>0</v>
      </c>
      <c r="AG106" s="66">
        <v>0</v>
      </c>
      <c r="AH106" s="66">
        <v>0</v>
      </c>
      <c r="AI106" s="66">
        <v>0</v>
      </c>
      <c r="AJ106" s="66">
        <v>0</v>
      </c>
      <c r="AK106" s="66">
        <v>0</v>
      </c>
      <c r="AL106" s="66">
        <v>0</v>
      </c>
      <c r="AM106" s="66">
        <v>0</v>
      </c>
      <c r="AN106" s="66">
        <v>0</v>
      </c>
      <c r="AO106" s="66"/>
      <c r="AP106" s="66"/>
      <c r="AQ106" s="66"/>
    </row>
    <row r="107" spans="1:43" s="56" customFormat="1">
      <c r="A107" s="61" t="s">
        <v>36</v>
      </c>
      <c r="B107" s="62">
        <v>2.5</v>
      </c>
      <c r="C107" s="66"/>
      <c r="D107" s="66"/>
      <c r="E107" s="66"/>
      <c r="F107" s="66"/>
      <c r="G107" s="66"/>
      <c r="H107" s="66"/>
      <c r="I107" s="66"/>
      <c r="J107" s="66"/>
      <c r="K107" s="66"/>
      <c r="L107" s="66"/>
      <c r="M107" s="66"/>
      <c r="N107" s="66">
        <v>2.5</v>
      </c>
      <c r="O107" s="66">
        <v>2.5</v>
      </c>
      <c r="P107" s="66">
        <v>2.5</v>
      </c>
      <c r="Q107" s="66">
        <v>2.5</v>
      </c>
      <c r="R107" s="66">
        <v>2.5</v>
      </c>
      <c r="S107" s="66">
        <v>1.65</v>
      </c>
      <c r="T107" s="66">
        <v>2.5</v>
      </c>
      <c r="U107" s="66">
        <v>0</v>
      </c>
      <c r="V107" s="66">
        <v>0.7</v>
      </c>
      <c r="W107" s="66">
        <v>0.7</v>
      </c>
      <c r="X107" s="66">
        <v>2.5</v>
      </c>
      <c r="Y107" s="66">
        <v>2.5</v>
      </c>
      <c r="Z107" s="66">
        <v>2.5</v>
      </c>
      <c r="AA107" s="66">
        <v>2.5</v>
      </c>
      <c r="AB107" s="66">
        <v>2.5</v>
      </c>
      <c r="AC107" s="66">
        <v>2.5</v>
      </c>
      <c r="AD107" s="66">
        <v>0</v>
      </c>
      <c r="AE107" s="66">
        <v>0</v>
      </c>
      <c r="AF107" s="66">
        <v>0</v>
      </c>
      <c r="AG107" s="66">
        <v>0</v>
      </c>
      <c r="AH107" s="66">
        <v>0</v>
      </c>
      <c r="AI107" s="66">
        <v>0</v>
      </c>
      <c r="AJ107" s="66">
        <v>0</v>
      </c>
      <c r="AK107" s="66">
        <v>0</v>
      </c>
      <c r="AL107" s="66">
        <v>0</v>
      </c>
      <c r="AM107" s="66">
        <v>0</v>
      </c>
      <c r="AN107" s="66">
        <v>0</v>
      </c>
      <c r="AO107" s="66"/>
      <c r="AP107" s="66"/>
      <c r="AQ107" s="66"/>
    </row>
    <row r="108" spans="1:43" s="56" customFormat="1">
      <c r="A108" s="64" t="s">
        <v>121</v>
      </c>
      <c r="B108" s="64"/>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row>
    <row r="109" spans="1:43" s="56" customFormat="1">
      <c r="A109" s="61" t="s">
        <v>31</v>
      </c>
      <c r="B109" s="62">
        <v>60</v>
      </c>
      <c r="C109" s="66"/>
      <c r="D109" s="66"/>
      <c r="E109" s="66"/>
      <c r="F109" s="66">
        <v>13</v>
      </c>
      <c r="G109" s="66"/>
      <c r="H109" s="66"/>
      <c r="I109" s="66"/>
      <c r="J109" s="66"/>
      <c r="K109" s="66"/>
      <c r="L109" s="66"/>
      <c r="M109" s="66">
        <v>20</v>
      </c>
      <c r="N109" s="66">
        <v>20</v>
      </c>
      <c r="O109" s="66">
        <v>20</v>
      </c>
      <c r="P109" s="66">
        <v>12</v>
      </c>
      <c r="Q109" s="66">
        <v>16</v>
      </c>
      <c r="R109" s="66">
        <v>10</v>
      </c>
      <c r="S109" s="66">
        <v>6</v>
      </c>
      <c r="T109" s="66">
        <v>16</v>
      </c>
      <c r="U109" s="66">
        <v>20</v>
      </c>
      <c r="V109" s="66">
        <v>10</v>
      </c>
      <c r="W109" s="66">
        <v>10</v>
      </c>
      <c r="X109" s="66">
        <v>20</v>
      </c>
      <c r="Y109" s="66">
        <v>20</v>
      </c>
      <c r="Z109" s="66">
        <v>26</v>
      </c>
      <c r="AA109" s="66">
        <v>26</v>
      </c>
      <c r="AB109" s="66">
        <v>30</v>
      </c>
      <c r="AC109" s="66">
        <v>30</v>
      </c>
      <c r="AD109" s="66">
        <v>30</v>
      </c>
      <c r="AE109" s="66">
        <v>24</v>
      </c>
      <c r="AF109" s="66">
        <v>30</v>
      </c>
      <c r="AG109" s="66">
        <v>30</v>
      </c>
      <c r="AH109" s="66">
        <v>30</v>
      </c>
      <c r="AI109" s="66">
        <v>24</v>
      </c>
      <c r="AJ109" s="66">
        <v>30</v>
      </c>
      <c r="AK109" s="66">
        <v>30</v>
      </c>
      <c r="AL109" s="66">
        <v>30</v>
      </c>
      <c r="AM109" s="66">
        <v>30</v>
      </c>
      <c r="AN109" s="66">
        <v>30</v>
      </c>
      <c r="AO109" s="66"/>
      <c r="AP109" s="66"/>
      <c r="AQ109" s="66"/>
    </row>
    <row r="110" spans="1:43" s="56" customFormat="1">
      <c r="A110" s="61" t="s">
        <v>32</v>
      </c>
      <c r="B110" s="62">
        <v>120</v>
      </c>
      <c r="C110" s="66"/>
      <c r="D110" s="66"/>
      <c r="E110" s="66"/>
      <c r="F110" s="66">
        <v>108</v>
      </c>
      <c r="G110" s="66"/>
      <c r="H110" s="66"/>
      <c r="I110" s="66"/>
      <c r="J110" s="66"/>
      <c r="K110" s="66"/>
      <c r="L110" s="66"/>
      <c r="M110" s="66">
        <v>80</v>
      </c>
      <c r="N110" s="66">
        <v>80</v>
      </c>
      <c r="O110" s="66">
        <v>80</v>
      </c>
      <c r="P110" s="66">
        <v>48</v>
      </c>
      <c r="Q110" s="66">
        <v>64</v>
      </c>
      <c r="R110" s="66">
        <v>40</v>
      </c>
      <c r="S110" s="66">
        <v>24</v>
      </c>
      <c r="T110" s="66">
        <v>64</v>
      </c>
      <c r="U110" s="66">
        <v>80</v>
      </c>
      <c r="V110" s="66">
        <v>40</v>
      </c>
      <c r="W110" s="66">
        <v>40</v>
      </c>
      <c r="X110" s="66">
        <v>80</v>
      </c>
      <c r="Y110" s="66">
        <v>80</v>
      </c>
      <c r="Z110" s="66">
        <v>104</v>
      </c>
      <c r="AA110" s="66">
        <v>104</v>
      </c>
      <c r="AB110" s="66">
        <v>120</v>
      </c>
      <c r="AC110" s="66">
        <v>120</v>
      </c>
      <c r="AD110" s="66">
        <v>120</v>
      </c>
      <c r="AE110" s="66">
        <v>96</v>
      </c>
      <c r="AF110" s="66">
        <v>120</v>
      </c>
      <c r="AG110" s="66">
        <v>120</v>
      </c>
      <c r="AH110" s="66">
        <v>120</v>
      </c>
      <c r="AI110" s="66">
        <v>96</v>
      </c>
      <c r="AJ110" s="66">
        <v>120</v>
      </c>
      <c r="AK110" s="66">
        <v>120</v>
      </c>
      <c r="AL110" s="66">
        <v>120</v>
      </c>
      <c r="AM110" s="66">
        <v>120</v>
      </c>
      <c r="AN110" s="66">
        <v>120</v>
      </c>
      <c r="AO110" s="66"/>
      <c r="AP110" s="66"/>
      <c r="AQ110" s="66"/>
    </row>
    <row r="111" spans="1:43" s="56" customFormat="1">
      <c r="A111" s="61" t="s">
        <v>33</v>
      </c>
      <c r="B111" s="62"/>
      <c r="C111" s="66"/>
      <c r="D111" s="66"/>
      <c r="E111" s="66"/>
      <c r="F111" s="66"/>
      <c r="G111" s="66"/>
      <c r="H111" s="66"/>
      <c r="I111" s="66"/>
      <c r="J111" s="66"/>
      <c r="K111" s="66"/>
      <c r="L111" s="66"/>
      <c r="M111" s="66">
        <v>10</v>
      </c>
      <c r="N111" s="66">
        <v>10</v>
      </c>
      <c r="O111" s="66">
        <v>10</v>
      </c>
      <c r="P111" s="66">
        <v>6</v>
      </c>
      <c r="Q111" s="66">
        <v>8</v>
      </c>
      <c r="R111" s="66">
        <v>5</v>
      </c>
      <c r="S111" s="66">
        <v>3</v>
      </c>
      <c r="T111" s="66">
        <v>8</v>
      </c>
      <c r="U111" s="66">
        <v>10</v>
      </c>
      <c r="V111" s="66">
        <v>5</v>
      </c>
      <c r="W111" s="66">
        <v>5</v>
      </c>
      <c r="X111" s="66">
        <v>10</v>
      </c>
      <c r="Y111" s="66">
        <v>10</v>
      </c>
      <c r="Z111" s="66">
        <v>13</v>
      </c>
      <c r="AA111" s="66">
        <v>13</v>
      </c>
      <c r="AB111" s="66">
        <v>15</v>
      </c>
      <c r="AC111" s="66">
        <v>15</v>
      </c>
      <c r="AD111" s="66">
        <v>15</v>
      </c>
      <c r="AE111" s="66">
        <v>12</v>
      </c>
      <c r="AF111" s="66">
        <v>15</v>
      </c>
      <c r="AG111" s="66">
        <v>15</v>
      </c>
      <c r="AH111" s="66">
        <v>15</v>
      </c>
      <c r="AI111" s="66">
        <v>12</v>
      </c>
      <c r="AJ111" s="66">
        <v>15</v>
      </c>
      <c r="AK111" s="66">
        <v>15</v>
      </c>
      <c r="AL111" s="66">
        <v>15</v>
      </c>
      <c r="AM111" s="66">
        <v>15</v>
      </c>
      <c r="AN111" s="66">
        <v>15</v>
      </c>
      <c r="AO111" s="66"/>
      <c r="AP111" s="66"/>
      <c r="AQ111" s="66"/>
    </row>
    <row r="112" spans="1:43" s="56" customFormat="1">
      <c r="A112" s="61" t="s">
        <v>34</v>
      </c>
      <c r="B112" s="62">
        <v>0</v>
      </c>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row>
    <row r="113" spans="1:43" s="56" customFormat="1">
      <c r="A113" s="61" t="s">
        <v>35</v>
      </c>
      <c r="B113" s="62">
        <v>0</v>
      </c>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row>
    <row r="114" spans="1:43" s="56" customFormat="1">
      <c r="A114" s="61" t="s">
        <v>36</v>
      </c>
      <c r="B114" s="62"/>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row>
    <row r="115" spans="1:43" s="56" customFormat="1">
      <c r="A115" s="64" t="s">
        <v>122</v>
      </c>
      <c r="B115" s="64"/>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row>
    <row r="116" spans="1:43" s="56" customFormat="1">
      <c r="A116" s="61" t="s">
        <v>31</v>
      </c>
      <c r="B116" s="62">
        <v>36</v>
      </c>
      <c r="C116" s="66"/>
      <c r="D116" s="66"/>
      <c r="E116" s="66"/>
      <c r="F116" s="66"/>
      <c r="G116" s="66"/>
      <c r="H116" s="66"/>
      <c r="I116" s="66"/>
      <c r="J116" s="66"/>
      <c r="K116" s="66"/>
      <c r="L116" s="66"/>
      <c r="M116" s="66"/>
      <c r="N116" s="66"/>
      <c r="O116" s="66"/>
      <c r="P116" s="66">
        <v>14</v>
      </c>
      <c r="Q116" s="66">
        <v>18</v>
      </c>
      <c r="R116" s="66">
        <v>8</v>
      </c>
      <c r="S116" s="66">
        <v>18</v>
      </c>
      <c r="T116" s="66">
        <v>14</v>
      </c>
      <c r="U116" s="66">
        <v>8</v>
      </c>
      <c r="V116" s="66">
        <v>8</v>
      </c>
      <c r="W116" s="66">
        <v>56</v>
      </c>
      <c r="X116" s="66">
        <v>14</v>
      </c>
      <c r="Y116" s="66">
        <v>14</v>
      </c>
      <c r="Z116" s="66">
        <v>26</v>
      </c>
      <c r="AA116" s="66">
        <v>18</v>
      </c>
      <c r="AB116" s="66">
        <v>20</v>
      </c>
      <c r="AC116" s="66">
        <v>20</v>
      </c>
      <c r="AD116" s="66">
        <v>20</v>
      </c>
      <c r="AE116" s="66">
        <v>20</v>
      </c>
      <c r="AF116" s="66">
        <v>20</v>
      </c>
      <c r="AG116" s="66">
        <v>20</v>
      </c>
      <c r="AH116" s="66">
        <v>20</v>
      </c>
      <c r="AI116" s="66"/>
      <c r="AJ116" s="66"/>
      <c r="AK116" s="66"/>
      <c r="AL116" s="66"/>
      <c r="AM116" s="66"/>
      <c r="AN116" s="66"/>
      <c r="AO116" s="66"/>
      <c r="AP116" s="66"/>
      <c r="AQ116" s="66"/>
    </row>
    <row r="117" spans="1:43" s="56" customFormat="1">
      <c r="A117" s="61" t="s">
        <v>32</v>
      </c>
      <c r="B117" s="62">
        <v>72</v>
      </c>
      <c r="C117" s="66"/>
      <c r="D117" s="66"/>
      <c r="E117" s="66"/>
      <c r="F117" s="66"/>
      <c r="G117" s="66">
        <v>40</v>
      </c>
      <c r="H117" s="66"/>
      <c r="I117" s="66"/>
      <c r="J117" s="66"/>
      <c r="K117" s="66"/>
      <c r="L117" s="66"/>
      <c r="M117" s="66"/>
      <c r="N117" s="66"/>
      <c r="O117" s="66"/>
      <c r="P117" s="66">
        <v>56</v>
      </c>
      <c r="Q117" s="66">
        <v>72</v>
      </c>
      <c r="R117" s="66">
        <v>32</v>
      </c>
      <c r="S117" s="66">
        <v>72</v>
      </c>
      <c r="T117" s="66">
        <v>56</v>
      </c>
      <c r="U117" s="66">
        <v>32</v>
      </c>
      <c r="V117" s="66">
        <v>32</v>
      </c>
      <c r="W117" s="66">
        <v>14</v>
      </c>
      <c r="X117" s="66">
        <v>56</v>
      </c>
      <c r="Y117" s="66">
        <v>56</v>
      </c>
      <c r="Z117" s="66">
        <v>104</v>
      </c>
      <c r="AA117" s="66">
        <v>72</v>
      </c>
      <c r="AB117" s="66">
        <v>80</v>
      </c>
      <c r="AC117" s="66">
        <v>80</v>
      </c>
      <c r="AD117" s="66">
        <v>80</v>
      </c>
      <c r="AE117" s="66">
        <v>80</v>
      </c>
      <c r="AF117" s="66">
        <v>80</v>
      </c>
      <c r="AG117" s="66">
        <v>80</v>
      </c>
      <c r="AH117" s="66">
        <v>80</v>
      </c>
      <c r="AI117" s="66"/>
      <c r="AJ117" s="66"/>
      <c r="AK117" s="66"/>
      <c r="AL117" s="66"/>
      <c r="AM117" s="66"/>
      <c r="AN117" s="66"/>
      <c r="AO117" s="66"/>
      <c r="AP117" s="66"/>
      <c r="AQ117" s="66"/>
    </row>
    <row r="118" spans="1:43" s="56" customFormat="1">
      <c r="A118" s="61" t="s">
        <v>33</v>
      </c>
      <c r="B118" s="62"/>
      <c r="C118" s="66"/>
      <c r="D118" s="66"/>
      <c r="E118" s="66"/>
      <c r="F118" s="66"/>
      <c r="G118" s="66"/>
      <c r="H118" s="66"/>
      <c r="I118" s="66"/>
      <c r="J118" s="66"/>
      <c r="K118" s="66"/>
      <c r="L118" s="66"/>
      <c r="M118" s="66"/>
      <c r="N118" s="66"/>
      <c r="O118" s="66"/>
      <c r="P118" s="66">
        <v>9</v>
      </c>
      <c r="Q118" s="66">
        <v>9</v>
      </c>
      <c r="R118" s="66">
        <v>4</v>
      </c>
      <c r="S118" s="66">
        <v>9</v>
      </c>
      <c r="T118" s="66">
        <v>7</v>
      </c>
      <c r="U118" s="66">
        <v>4</v>
      </c>
      <c r="V118" s="66">
        <v>4</v>
      </c>
      <c r="W118" s="66">
        <v>7</v>
      </c>
      <c r="X118" s="66">
        <v>7</v>
      </c>
      <c r="Y118" s="66">
        <v>7</v>
      </c>
      <c r="Z118" s="66">
        <v>13</v>
      </c>
      <c r="AA118" s="66">
        <v>9</v>
      </c>
      <c r="AB118" s="66">
        <v>10</v>
      </c>
      <c r="AC118" s="66">
        <v>10</v>
      </c>
      <c r="AD118" s="66">
        <v>10</v>
      </c>
      <c r="AE118" s="66">
        <v>10</v>
      </c>
      <c r="AF118" s="66">
        <v>10</v>
      </c>
      <c r="AG118" s="66">
        <v>10</v>
      </c>
      <c r="AH118" s="66">
        <v>10</v>
      </c>
      <c r="AI118" s="66"/>
      <c r="AJ118" s="66"/>
      <c r="AK118" s="66"/>
      <c r="AL118" s="66"/>
      <c r="AM118" s="66"/>
      <c r="AN118" s="66"/>
      <c r="AO118" s="66"/>
      <c r="AP118" s="66"/>
      <c r="AQ118" s="66"/>
    </row>
    <row r="119" spans="1:43" s="56" customFormat="1">
      <c r="A119" s="61" t="s">
        <v>34</v>
      </c>
      <c r="B119" s="62">
        <v>0</v>
      </c>
      <c r="C119" s="66"/>
      <c r="D119" s="66"/>
      <c r="E119" s="66"/>
      <c r="F119" s="66"/>
      <c r="G119" s="66"/>
      <c r="H119" s="66"/>
      <c r="I119" s="66"/>
      <c r="J119" s="66"/>
      <c r="K119" s="66"/>
      <c r="L119" s="66"/>
      <c r="M119" s="66"/>
      <c r="N119" s="66"/>
      <c r="O119" s="66"/>
      <c r="P119" s="66">
        <v>0</v>
      </c>
      <c r="Q119" s="66">
        <v>0</v>
      </c>
      <c r="R119" s="66">
        <v>0</v>
      </c>
      <c r="S119" s="66">
        <v>0</v>
      </c>
      <c r="T119" s="66">
        <v>0</v>
      </c>
      <c r="U119" s="66">
        <v>0</v>
      </c>
      <c r="V119" s="66">
        <v>0</v>
      </c>
      <c r="W119" s="66">
        <v>0</v>
      </c>
      <c r="X119" s="66">
        <v>0</v>
      </c>
      <c r="Y119" s="66">
        <v>0</v>
      </c>
      <c r="Z119" s="66">
        <v>0</v>
      </c>
      <c r="AA119" s="66">
        <v>0</v>
      </c>
      <c r="AB119" s="66">
        <v>0</v>
      </c>
      <c r="AC119" s="66">
        <v>0</v>
      </c>
      <c r="AD119" s="66">
        <v>0</v>
      </c>
      <c r="AE119" s="66">
        <v>0</v>
      </c>
      <c r="AF119" s="66">
        <v>0</v>
      </c>
      <c r="AG119" s="66">
        <v>0</v>
      </c>
      <c r="AH119" s="66">
        <v>0</v>
      </c>
      <c r="AI119" s="66">
        <v>0</v>
      </c>
      <c r="AJ119" s="66">
        <v>0</v>
      </c>
      <c r="AK119" s="66">
        <v>0</v>
      </c>
      <c r="AL119" s="66">
        <v>0</v>
      </c>
      <c r="AM119" s="66">
        <v>0</v>
      </c>
      <c r="AN119" s="66">
        <v>0</v>
      </c>
      <c r="AO119" s="66">
        <v>0</v>
      </c>
      <c r="AP119" s="66"/>
      <c r="AQ119" s="66"/>
    </row>
    <row r="120" spans="1:43" s="56" customFormat="1">
      <c r="A120" s="61" t="s">
        <v>35</v>
      </c>
      <c r="B120" s="62"/>
      <c r="C120" s="66"/>
      <c r="D120" s="66"/>
      <c r="E120" s="66"/>
      <c r="F120" s="66"/>
      <c r="G120" s="66"/>
      <c r="H120" s="66"/>
      <c r="I120" s="66"/>
      <c r="J120" s="66"/>
      <c r="K120" s="66"/>
      <c r="L120" s="66"/>
      <c r="M120" s="66"/>
      <c r="N120" s="66"/>
      <c r="O120" s="66"/>
      <c r="P120" s="66">
        <v>0</v>
      </c>
      <c r="Q120" s="66">
        <v>0</v>
      </c>
      <c r="R120" s="66">
        <v>0</v>
      </c>
      <c r="S120" s="66">
        <v>0</v>
      </c>
      <c r="T120" s="66">
        <v>0</v>
      </c>
      <c r="U120" s="66">
        <v>0</v>
      </c>
      <c r="V120" s="66">
        <v>0</v>
      </c>
      <c r="W120" s="66">
        <v>0</v>
      </c>
      <c r="X120" s="66">
        <v>0</v>
      </c>
      <c r="Y120" s="66">
        <v>0</v>
      </c>
      <c r="Z120" s="66">
        <v>0</v>
      </c>
      <c r="AA120" s="66">
        <v>0</v>
      </c>
      <c r="AB120" s="66">
        <v>0</v>
      </c>
      <c r="AC120" s="66">
        <v>0</v>
      </c>
      <c r="AD120" s="66">
        <v>0</v>
      </c>
      <c r="AE120" s="66">
        <v>0</v>
      </c>
      <c r="AF120" s="66">
        <v>0</v>
      </c>
      <c r="AG120" s="66">
        <v>0</v>
      </c>
      <c r="AH120" s="66">
        <v>0</v>
      </c>
      <c r="AI120" s="66">
        <v>0</v>
      </c>
      <c r="AJ120" s="66">
        <v>0</v>
      </c>
      <c r="AK120" s="66">
        <v>0</v>
      </c>
      <c r="AL120" s="66">
        <v>0</v>
      </c>
      <c r="AM120" s="66">
        <v>0</v>
      </c>
      <c r="AN120" s="66">
        <v>0</v>
      </c>
      <c r="AO120" s="66">
        <v>0</v>
      </c>
      <c r="AP120" s="66"/>
      <c r="AQ120" s="66"/>
    </row>
    <row r="121" spans="1:43" s="56" customFormat="1">
      <c r="A121" s="61" t="s">
        <v>36</v>
      </c>
      <c r="B121" s="62"/>
      <c r="C121" s="66"/>
      <c r="D121" s="66"/>
      <c r="E121" s="66"/>
      <c r="F121" s="66"/>
      <c r="G121" s="66"/>
      <c r="H121" s="66"/>
      <c r="I121" s="66"/>
      <c r="J121" s="66"/>
      <c r="K121" s="66"/>
      <c r="L121" s="66"/>
      <c r="M121" s="66"/>
      <c r="N121" s="66"/>
      <c r="O121" s="66"/>
      <c r="P121" s="66">
        <v>0</v>
      </c>
      <c r="Q121" s="66">
        <v>0</v>
      </c>
      <c r="R121" s="66">
        <v>0</v>
      </c>
      <c r="S121" s="66">
        <v>0</v>
      </c>
      <c r="T121" s="66">
        <v>0</v>
      </c>
      <c r="U121" s="66">
        <v>0</v>
      </c>
      <c r="V121" s="66">
        <v>0</v>
      </c>
      <c r="W121" s="66">
        <v>0</v>
      </c>
      <c r="X121" s="66">
        <v>0</v>
      </c>
      <c r="Y121" s="66">
        <v>0</v>
      </c>
      <c r="Z121" s="66">
        <v>0</v>
      </c>
      <c r="AA121" s="66">
        <v>0</v>
      </c>
      <c r="AB121" s="66">
        <v>0</v>
      </c>
      <c r="AC121" s="66">
        <v>0</v>
      </c>
      <c r="AD121" s="66">
        <v>0</v>
      </c>
      <c r="AE121" s="66">
        <v>0</v>
      </c>
      <c r="AF121" s="66">
        <v>0</v>
      </c>
      <c r="AG121" s="66">
        <v>0</v>
      </c>
      <c r="AH121" s="66">
        <v>0</v>
      </c>
      <c r="AI121" s="66">
        <v>0</v>
      </c>
      <c r="AJ121" s="66">
        <v>0</v>
      </c>
      <c r="AK121" s="66">
        <v>0</v>
      </c>
      <c r="AL121" s="66">
        <v>0</v>
      </c>
      <c r="AM121" s="66">
        <v>0</v>
      </c>
      <c r="AN121" s="66">
        <v>0</v>
      </c>
      <c r="AO121" s="66">
        <v>0</v>
      </c>
      <c r="AP121" s="66"/>
      <c r="AQ121" s="66"/>
    </row>
    <row r="122" spans="1:43" s="56" customFormat="1" hidden="1">
      <c r="A122" s="97" t="s">
        <v>132</v>
      </c>
      <c r="B122" s="97"/>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1" t="s">
        <v>93</v>
      </c>
      <c r="AQ122" s="66"/>
    </row>
    <row r="123" spans="1:43" s="56" customFormat="1" hidden="1">
      <c r="A123" s="61" t="s">
        <v>112</v>
      </c>
      <c r="B123" s="61"/>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c r="AK123" s="84"/>
      <c r="AL123" s="84"/>
      <c r="AM123" s="84"/>
      <c r="AN123" s="84"/>
      <c r="AO123" s="84"/>
      <c r="AP123" s="81" t="s">
        <v>93</v>
      </c>
      <c r="AQ123" s="66"/>
    </row>
    <row r="124" spans="1:43" s="56" customFormat="1" hidden="1">
      <c r="A124" s="61" t="s">
        <v>112</v>
      </c>
      <c r="B124" s="61"/>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c r="AN124" s="84"/>
      <c r="AO124" s="84"/>
      <c r="AP124" s="81" t="s">
        <v>93</v>
      </c>
      <c r="AQ124" s="66"/>
    </row>
    <row r="125" spans="1:43" s="56" customFormat="1" hidden="1">
      <c r="A125" s="61" t="s">
        <v>112</v>
      </c>
      <c r="B125" s="61"/>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c r="AP125" s="81" t="s">
        <v>93</v>
      </c>
      <c r="AQ125" s="66"/>
    </row>
    <row r="126" spans="1:43" s="56" customFormat="1">
      <c r="A126" s="97" t="s">
        <v>123</v>
      </c>
      <c r="B126" s="97"/>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1" t="s">
        <v>93</v>
      </c>
      <c r="AQ126" s="66"/>
    </row>
    <row r="127" spans="1:43" s="56" customFormat="1">
      <c r="A127" s="61" t="s">
        <v>133</v>
      </c>
      <c r="B127" s="61">
        <v>20000</v>
      </c>
      <c r="C127" s="61">
        <v>20000</v>
      </c>
      <c r="D127" s="61">
        <v>20000</v>
      </c>
      <c r="E127" s="61">
        <v>20000</v>
      </c>
      <c r="F127" s="61">
        <v>20000</v>
      </c>
      <c r="G127" s="61">
        <v>20000</v>
      </c>
      <c r="H127" s="61">
        <v>20000</v>
      </c>
      <c r="I127" s="61">
        <v>20000</v>
      </c>
      <c r="J127" s="61">
        <v>20000</v>
      </c>
      <c r="K127" s="61">
        <v>20000</v>
      </c>
      <c r="L127" s="61">
        <v>20000</v>
      </c>
      <c r="M127" s="61">
        <v>20000</v>
      </c>
      <c r="N127" s="61">
        <v>20000</v>
      </c>
      <c r="O127" s="61">
        <v>20000</v>
      </c>
      <c r="P127" s="61">
        <v>20000</v>
      </c>
      <c r="Q127" s="61">
        <v>20000</v>
      </c>
      <c r="R127" s="61">
        <v>20000</v>
      </c>
      <c r="S127" s="61">
        <v>20000</v>
      </c>
      <c r="T127" s="61">
        <v>20000</v>
      </c>
      <c r="U127" s="61">
        <v>20000</v>
      </c>
      <c r="V127" s="61">
        <v>20000</v>
      </c>
      <c r="W127" s="61">
        <v>20000</v>
      </c>
      <c r="X127" s="61">
        <v>20000</v>
      </c>
      <c r="Y127" s="61">
        <v>20000</v>
      </c>
      <c r="Z127" s="61">
        <v>20000</v>
      </c>
      <c r="AA127" s="61">
        <v>20000</v>
      </c>
      <c r="AB127" s="61">
        <v>20000</v>
      </c>
      <c r="AC127" s="61">
        <v>20000</v>
      </c>
      <c r="AD127" s="61">
        <v>20000</v>
      </c>
      <c r="AE127" s="61">
        <v>20000</v>
      </c>
      <c r="AF127" s="61">
        <v>20000</v>
      </c>
      <c r="AG127" s="61">
        <v>20000</v>
      </c>
      <c r="AH127" s="61">
        <v>20000</v>
      </c>
      <c r="AI127" s="61">
        <v>20000</v>
      </c>
      <c r="AJ127" s="61">
        <v>20000</v>
      </c>
      <c r="AK127" s="61">
        <v>20000</v>
      </c>
      <c r="AL127" s="61">
        <v>20000</v>
      </c>
      <c r="AM127" s="61">
        <v>20000</v>
      </c>
      <c r="AN127" s="61">
        <v>20000</v>
      </c>
      <c r="AO127" s="61">
        <v>20000</v>
      </c>
      <c r="AP127" s="81" t="s">
        <v>93</v>
      </c>
      <c r="AQ127" s="66"/>
    </row>
    <row r="128" spans="1:43" s="56" customFormat="1">
      <c r="A128" s="97" t="s">
        <v>125</v>
      </c>
      <c r="B128" s="97"/>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1" t="s">
        <v>93</v>
      </c>
      <c r="AQ128" s="66"/>
    </row>
    <row r="129" spans="1:43" s="56" customFormat="1">
      <c r="A129" s="61" t="s">
        <v>128</v>
      </c>
      <c r="B129" s="61">
        <v>45</v>
      </c>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c r="AL129" s="84"/>
      <c r="AM129" s="84"/>
      <c r="AN129" s="84"/>
      <c r="AO129" s="84"/>
      <c r="AP129" s="81" t="s">
        <v>93</v>
      </c>
      <c r="AQ129" s="66"/>
    </row>
    <row r="130" spans="1:43" s="56" customFormat="1">
      <c r="A130" s="62"/>
      <c r="B130" s="62"/>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66"/>
    </row>
    <row r="131" spans="1:43" s="56" customFormat="1">
      <c r="A131" s="62"/>
      <c r="B131" s="62"/>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row>
    <row r="132" spans="1:43" s="56" customFormat="1">
      <c r="A132" s="62"/>
      <c r="B132" s="62"/>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row>
    <row r="133" spans="1:43" s="56" customFormat="1">
      <c r="A133" s="62"/>
      <c r="B133" s="62"/>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row>
    <row r="134" spans="1:43" s="56" customFormat="1">
      <c r="A134" s="62"/>
      <c r="B134" s="62"/>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row>
    <row r="135" spans="1:43" s="56" customFormat="1">
      <c r="A135" s="62"/>
      <c r="B135" s="62"/>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row>
    <row r="136" spans="1:43" s="56" customFormat="1">
      <c r="A136" s="62"/>
      <c r="B136" s="62"/>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row>
    <row r="137" spans="1:43" s="56" customFormat="1">
      <c r="A137" s="62"/>
      <c r="B137" s="62"/>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row>
    <row r="138" spans="1:43" s="56" customFormat="1">
      <c r="A138" s="62"/>
      <c r="B138" s="62"/>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row>
    <row r="139" spans="1:43" s="56" customFormat="1">
      <c r="A139" s="62"/>
      <c r="B139" s="62"/>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row>
    <row r="140" spans="1:43" s="56" customFormat="1">
      <c r="A140" s="62"/>
      <c r="B140" s="62"/>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row>
    <row r="141" spans="1:43" s="56" customFormat="1">
      <c r="A141" s="62"/>
      <c r="B141" s="62"/>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row>
    <row r="142" spans="1:43" s="56" customFormat="1">
      <c r="A142" s="62"/>
      <c r="B142" s="62"/>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row>
    <row r="143" spans="1:43" s="56" customFormat="1">
      <c r="A143" s="62"/>
      <c r="B143" s="62"/>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row>
    <row r="144" spans="1:43" s="56" customFormat="1">
      <c r="A144" s="62"/>
      <c r="B144" s="62"/>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row>
    <row r="145" spans="1:43" s="56" customFormat="1">
      <c r="A145" s="62"/>
      <c r="B145" s="62"/>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row>
    <row r="146" spans="1:43" s="56" customFormat="1">
      <c r="A146" s="62"/>
      <c r="B146" s="62"/>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row>
    <row r="147" spans="1:43" s="56" customFormat="1">
      <c r="A147" s="62"/>
      <c r="B147" s="62"/>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row>
    <row r="148" spans="1:43" s="56" customFormat="1">
      <c r="A148" s="62"/>
      <c r="B148" s="62"/>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row>
    <row r="149" spans="1:43" s="56" customFormat="1">
      <c r="A149" s="62"/>
      <c r="B149" s="62"/>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row>
    <row r="150" spans="1:43" s="56" customFormat="1">
      <c r="A150" s="62"/>
      <c r="B150" s="62"/>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row>
    <row r="151" spans="1:43" s="56" customFormat="1">
      <c r="A151" s="62"/>
      <c r="B151" s="62"/>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row>
    <row r="152" spans="1:43" s="56" customFormat="1">
      <c r="A152" s="62"/>
      <c r="B152" s="62"/>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row>
    <row r="153" spans="1:43" s="56" customFormat="1">
      <c r="A153" s="62"/>
      <c r="B153" s="62"/>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row>
    <row r="154" spans="1:43" s="56" customFormat="1">
      <c r="A154" s="62"/>
      <c r="B154" s="62"/>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row>
    <row r="155" spans="1:43" s="56" customFormat="1">
      <c r="A155" s="62"/>
      <c r="B155" s="62"/>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row>
    <row r="156" spans="1:43" s="56" customFormat="1">
      <c r="A156" s="62"/>
      <c r="B156" s="62"/>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row>
    <row r="157" spans="1:43" s="56" customFormat="1">
      <c r="A157" s="62"/>
      <c r="B157" s="62"/>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row>
    <row r="158" spans="1:43" s="56" customFormat="1">
      <c r="A158" s="62"/>
      <c r="B158" s="62"/>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row>
    <row r="159" spans="1:43" s="56" customFormat="1">
      <c r="A159" s="62"/>
      <c r="B159" s="62"/>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row>
    <row r="160" spans="1:43" s="56" customFormat="1">
      <c r="A160" s="62"/>
      <c r="B160" s="62"/>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row>
    <row r="161" spans="1:43" s="56" customFormat="1">
      <c r="A161" s="62"/>
      <c r="B161" s="62"/>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row>
    <row r="162" spans="1:43" s="56" customFormat="1">
      <c r="A162" s="62"/>
      <c r="B162" s="62"/>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row>
    <row r="163" spans="1:43" s="56" customFormat="1">
      <c r="A163" s="62"/>
      <c r="B163" s="62"/>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row>
    <row r="164" spans="1:43" s="56" customFormat="1">
      <c r="A164" s="62"/>
      <c r="B164" s="62"/>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row>
    <row r="165" spans="1:43" s="56" customFormat="1">
      <c r="A165" s="62"/>
      <c r="B165" s="62"/>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row>
    <row r="166" spans="1:43" s="56" customFormat="1">
      <c r="A166" s="62"/>
      <c r="B166" s="62"/>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row>
    <row r="167" spans="1:43" s="56" customFormat="1">
      <c r="A167" s="62"/>
      <c r="B167" s="62"/>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row>
    <row r="168" spans="1:43" s="56" customFormat="1">
      <c r="A168" s="62"/>
      <c r="B168" s="62"/>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row>
    <row r="169" spans="1:43" s="56" customFormat="1">
      <c r="A169" s="62"/>
      <c r="B169" s="62"/>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row>
    <row r="170" spans="1:43" s="56" customFormat="1">
      <c r="A170" s="62"/>
      <c r="B170" s="62"/>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row>
    <row r="171" spans="1:43" s="56" customFormat="1">
      <c r="A171" s="62"/>
      <c r="B171" s="62"/>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row>
    <row r="172" spans="1:43" s="56" customFormat="1">
      <c r="A172" s="62"/>
      <c r="B172" s="62"/>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row>
    <row r="173" spans="1:43" s="56" customFormat="1">
      <c r="A173" s="62"/>
      <c r="B173" s="62"/>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row>
    <row r="174" spans="1:43" s="56" customFormat="1">
      <c r="A174" s="62"/>
      <c r="B174" s="62"/>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row>
    <row r="175" spans="1:43" s="56" customFormat="1">
      <c r="A175" s="62"/>
      <c r="B175" s="62"/>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row>
    <row r="176" spans="1:43" s="56" customFormat="1">
      <c r="A176" s="62"/>
      <c r="B176" s="62"/>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row>
    <row r="177" spans="1:43" s="56" customFormat="1">
      <c r="A177" s="62"/>
      <c r="B177" s="62"/>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row>
    <row r="178" spans="1:43" s="56" customFormat="1">
      <c r="A178" s="62"/>
      <c r="B178" s="62"/>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row>
    <row r="179" spans="1:43" s="56" customFormat="1">
      <c r="A179" s="62"/>
      <c r="B179" s="62"/>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row>
    <row r="180" spans="1:43" s="56" customFormat="1">
      <c r="A180" s="62"/>
      <c r="B180" s="62"/>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row>
    <row r="181" spans="1:43" s="56" customFormat="1">
      <c r="A181" s="62"/>
      <c r="B181" s="62"/>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row>
    <row r="182" spans="1:43" s="56" customFormat="1">
      <c r="A182" s="62"/>
      <c r="B182" s="62"/>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row>
    <row r="183" spans="1:43" s="56" customFormat="1">
      <c r="A183" s="62"/>
      <c r="B183" s="62"/>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row>
    <row r="184" spans="1:43" s="56" customFormat="1">
      <c r="A184" s="62"/>
      <c r="B184" s="62"/>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row>
    <row r="185" spans="1:43" s="56" customFormat="1">
      <c r="A185" s="62"/>
      <c r="B185" s="62"/>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row>
    <row r="186" spans="1:43" s="56" customFormat="1">
      <c r="A186" s="62"/>
      <c r="B186" s="62"/>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row>
    <row r="187" spans="1:43" s="56" customFormat="1">
      <c r="A187" s="62"/>
      <c r="B187" s="62"/>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row>
    <row r="188" spans="1:43" s="56" customFormat="1">
      <c r="A188" s="62"/>
      <c r="B188" s="62"/>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row>
    <row r="189" spans="1:43" s="56" customFormat="1">
      <c r="A189" s="62"/>
      <c r="B189" s="62"/>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row>
    <row r="190" spans="1:43" s="56" customFormat="1">
      <c r="A190" s="62"/>
      <c r="B190" s="62"/>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row>
    <row r="191" spans="1:43" s="56" customFormat="1">
      <c r="A191" s="62"/>
      <c r="B191" s="62"/>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row>
    <row r="192" spans="1:43" s="56" customFormat="1">
      <c r="A192" s="62"/>
      <c r="B192" s="62"/>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row>
    <row r="193" spans="1:43" s="56" customFormat="1">
      <c r="A193" s="62"/>
      <c r="B193" s="62"/>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row>
    <row r="194" spans="1:43" s="56" customFormat="1">
      <c r="A194" s="62"/>
      <c r="B194" s="62"/>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row>
    <row r="195" spans="1:43" s="56" customFormat="1">
      <c r="A195" s="62"/>
      <c r="B195" s="62"/>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row>
    <row r="196" spans="1:43" s="56" customFormat="1">
      <c r="A196" s="62"/>
      <c r="B196" s="62"/>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row>
    <row r="197" spans="1:43" s="56" customFormat="1">
      <c r="A197" s="62"/>
      <c r="B197" s="62"/>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row>
    <row r="198" spans="1:43" s="56" customFormat="1">
      <c r="A198" s="62"/>
      <c r="B198" s="62"/>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row>
    <row r="199" spans="1:43" s="56" customFormat="1">
      <c r="A199" s="62"/>
      <c r="B199" s="62"/>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row>
    <row r="200" spans="1:43" s="56" customFormat="1">
      <c r="A200" s="62"/>
      <c r="B200" s="62"/>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row>
    <row r="201" spans="1:43" s="56" customFormat="1">
      <c r="A201" s="62"/>
      <c r="B201" s="62"/>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row>
    <row r="202" spans="1:43" s="56" customFormat="1">
      <c r="A202" s="62"/>
      <c r="B202" s="62"/>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row>
    <row r="203" spans="1:43" s="56" customFormat="1">
      <c r="A203" s="62"/>
      <c r="B203" s="62"/>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row>
    <row r="204" spans="1:43" s="56" customFormat="1">
      <c r="A204" s="62"/>
      <c r="B204" s="62"/>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row>
    <row r="205" spans="1:43" s="56" customFormat="1">
      <c r="A205" s="62"/>
      <c r="B205" s="62"/>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row>
    <row r="206" spans="1:43" s="56" customFormat="1">
      <c r="A206" s="62"/>
      <c r="B206" s="62"/>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row>
    <row r="207" spans="1:43" s="56" customFormat="1">
      <c r="A207" s="62"/>
      <c r="B207" s="62"/>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row>
    <row r="208" spans="1:43" s="56" customFormat="1">
      <c r="A208" s="62"/>
      <c r="B208" s="62"/>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row>
    <row r="209" spans="1:43" s="56" customFormat="1">
      <c r="A209" s="62"/>
      <c r="B209" s="62"/>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row>
    <row r="210" spans="1:43" s="56" customFormat="1">
      <c r="A210" s="62"/>
      <c r="B210" s="62"/>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row>
    <row r="211" spans="1:43" s="56" customFormat="1">
      <c r="A211" s="62"/>
      <c r="B211" s="62"/>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row>
    <row r="212" spans="1:43" s="56" customFormat="1">
      <c r="A212" s="62"/>
      <c r="B212" s="62"/>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row>
    <row r="213" spans="1:43" s="56" customFormat="1">
      <c r="A213" s="62"/>
      <c r="B213" s="62"/>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row>
    <row r="214" spans="1:43" s="56" customFormat="1">
      <c r="A214" s="62"/>
      <c r="B214" s="62"/>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row>
    <row r="215" spans="1:43" s="56" customFormat="1">
      <c r="A215" s="62"/>
      <c r="B215" s="62"/>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row>
    <row r="216" spans="1:43" s="56" customFormat="1">
      <c r="A216" s="62"/>
      <c r="B216" s="62"/>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row>
    <row r="217" spans="1:43" s="56" customFormat="1">
      <c r="A217" s="62"/>
      <c r="B217" s="62"/>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row>
    <row r="218" spans="1:43" s="56" customFormat="1">
      <c r="A218" s="62"/>
      <c r="B218" s="62"/>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row>
    <row r="219" spans="1:43" s="56" customFormat="1">
      <c r="A219" s="62"/>
      <c r="B219" s="62"/>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row>
    <row r="220" spans="1:43" s="56" customFormat="1">
      <c r="A220" s="62"/>
      <c r="B220" s="62"/>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row>
    <row r="221" spans="1:43" s="56" customFormat="1">
      <c r="A221" s="62"/>
      <c r="B221" s="62"/>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row>
    <row r="222" spans="1:43" s="56" customFormat="1">
      <c r="A222" s="62"/>
      <c r="B222" s="62"/>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row>
    <row r="223" spans="1:43" s="56" customFormat="1">
      <c r="A223" s="62"/>
      <c r="B223" s="62"/>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row>
    <row r="224" spans="1:43" s="56" customFormat="1">
      <c r="A224" s="62"/>
      <c r="B224" s="62"/>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row>
    <row r="225" spans="1:43" s="56" customFormat="1">
      <c r="A225" s="62"/>
      <c r="B225" s="62"/>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row>
    <row r="226" spans="1:43" s="56" customFormat="1">
      <c r="A226" s="62"/>
      <c r="B226" s="62"/>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row>
    <row r="227" spans="1:43" s="56" customFormat="1">
      <c r="A227" s="62"/>
      <c r="B227" s="62"/>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row>
    <row r="228" spans="1:43" s="56" customFormat="1">
      <c r="A228" s="62"/>
      <c r="B228" s="62"/>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row>
    <row r="229" spans="1:43" s="56" customFormat="1">
      <c r="A229" s="62"/>
      <c r="B229" s="62"/>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row>
    <row r="230" spans="1:43" s="56" customFormat="1">
      <c r="A230" s="62"/>
      <c r="B230" s="62"/>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row>
    <row r="231" spans="1:43" s="56" customFormat="1">
      <c r="A231" s="62"/>
      <c r="B231" s="62"/>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row>
    <row r="232" spans="1:43" s="56" customFormat="1">
      <c r="A232" s="62"/>
      <c r="B232" s="62"/>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row>
    <row r="233" spans="1:43" s="56" customFormat="1">
      <c r="A233" s="62"/>
      <c r="B233" s="62"/>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row>
    <row r="234" spans="1:43" s="56" customFormat="1">
      <c r="A234" s="62"/>
      <c r="B234" s="62"/>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row>
    <row r="235" spans="1:43" s="56" customFormat="1">
      <c r="A235" s="62"/>
      <c r="B235" s="62"/>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row>
    <row r="236" spans="1:43" s="56" customFormat="1">
      <c r="A236" s="62"/>
      <c r="B236" s="62"/>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row>
    <row r="237" spans="1:43" s="56" customFormat="1">
      <c r="A237" s="62"/>
      <c r="B237" s="62"/>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row>
    <row r="238" spans="1:43" s="56" customFormat="1">
      <c r="A238" s="62"/>
      <c r="B238" s="62"/>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row>
    <row r="239" spans="1:43" s="56" customFormat="1">
      <c r="A239" s="62"/>
      <c r="B239" s="62"/>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row>
    <row r="240" spans="1:43" s="56" customFormat="1">
      <c r="A240" s="62"/>
      <c r="B240" s="62"/>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row>
    <row r="241" spans="1:43" s="56" customFormat="1">
      <c r="A241" s="62"/>
      <c r="B241" s="62"/>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row>
    <row r="242" spans="1:43" s="56" customFormat="1">
      <c r="A242" s="62"/>
      <c r="B242" s="62"/>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row>
    <row r="243" spans="1:43" s="56" customFormat="1">
      <c r="A243" s="62"/>
      <c r="B243" s="62"/>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row>
    <row r="244" spans="1:43" s="56" customFormat="1">
      <c r="A244" s="62"/>
      <c r="B244" s="62"/>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row>
    <row r="245" spans="1:43" s="56" customFormat="1">
      <c r="A245" s="62"/>
      <c r="B245" s="62"/>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row>
    <row r="246" spans="1:43" s="56" customFormat="1">
      <c r="A246" s="62"/>
      <c r="B246" s="62"/>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row>
    <row r="247" spans="1:43" s="56" customFormat="1">
      <c r="A247" s="62"/>
      <c r="B247" s="62"/>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row>
    <row r="248" spans="1:43" s="56" customFormat="1">
      <c r="A248" s="62"/>
      <c r="B248" s="62"/>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row>
    <row r="249" spans="1:43" s="56" customFormat="1">
      <c r="A249" s="62"/>
      <c r="B249" s="62"/>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row>
    <row r="250" spans="1:43" s="56" customFormat="1">
      <c r="A250" s="62"/>
      <c r="B250" s="62"/>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row>
    <row r="251" spans="1:43" s="56" customFormat="1">
      <c r="A251" s="62"/>
      <c r="B251" s="62"/>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row>
    <row r="252" spans="1:43" s="56" customFormat="1">
      <c r="A252" s="62"/>
      <c r="B252" s="62"/>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row>
    <row r="253" spans="1:43" s="56" customFormat="1">
      <c r="A253" s="62"/>
      <c r="B253" s="62"/>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row>
    <row r="254" spans="1:43" s="56" customFormat="1">
      <c r="A254" s="62"/>
      <c r="B254" s="62"/>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row>
    <row r="255" spans="1:43" s="56" customFormat="1">
      <c r="A255" s="62"/>
      <c r="B255" s="62"/>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row>
    <row r="256" spans="1:43" s="56" customFormat="1">
      <c r="A256" s="62"/>
      <c r="B256" s="62"/>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row>
    <row r="257" spans="1:43" s="56" customFormat="1">
      <c r="A257" s="62"/>
      <c r="B257" s="62"/>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row>
    <row r="258" spans="1:43" s="56" customFormat="1">
      <c r="A258" s="62"/>
      <c r="B258" s="62"/>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row>
    <row r="259" spans="1:43" s="56" customFormat="1">
      <c r="A259" s="62"/>
      <c r="B259" s="62"/>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row>
    <row r="260" spans="1:43" s="56" customFormat="1">
      <c r="A260" s="62"/>
      <c r="B260" s="62"/>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row>
    <row r="261" spans="1:43" s="56" customFormat="1">
      <c r="A261" s="62"/>
      <c r="B261" s="62"/>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row>
    <row r="262" spans="1:43" s="56" customFormat="1">
      <c r="A262" s="62"/>
      <c r="B262" s="62"/>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row>
    <row r="263" spans="1:43" s="56" customFormat="1">
      <c r="A263" s="62"/>
      <c r="B263" s="62"/>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row>
    <row r="264" spans="1:43" s="56" customFormat="1">
      <c r="A264" s="62"/>
      <c r="B264" s="62"/>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row>
    <row r="265" spans="1:43" s="56" customFormat="1">
      <c r="A265" s="62"/>
      <c r="B265" s="62"/>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row>
    <row r="266" spans="1:43" s="56" customFormat="1">
      <c r="A266" s="62"/>
      <c r="B266" s="62"/>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row>
    <row r="267" spans="1:43" s="56" customFormat="1">
      <c r="A267" s="62"/>
      <c r="B267" s="62"/>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row>
    <row r="268" spans="1:43" s="56" customFormat="1">
      <c r="A268" s="62"/>
      <c r="B268" s="62"/>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row>
    <row r="269" spans="1:43" s="56" customFormat="1">
      <c r="A269" s="62"/>
      <c r="B269" s="62"/>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row>
    <row r="270" spans="1:43" s="56" customFormat="1">
      <c r="A270" s="62"/>
      <c r="B270" s="62"/>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row>
    <row r="271" spans="1:43" s="56" customFormat="1">
      <c r="A271" s="62"/>
      <c r="B271" s="62"/>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row>
    <row r="272" spans="1:43" s="56" customFormat="1">
      <c r="A272" s="62"/>
      <c r="B272" s="62"/>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row>
    <row r="273" spans="1:43" s="56" customFormat="1">
      <c r="A273" s="62"/>
      <c r="B273" s="62"/>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row>
    <row r="274" spans="1:43" s="56" customFormat="1">
      <c r="A274" s="62"/>
      <c r="B274" s="62"/>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row>
    <row r="275" spans="1:43" s="56" customFormat="1">
      <c r="A275" s="62"/>
      <c r="B275" s="62"/>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row>
    <row r="276" spans="1:43" s="56" customFormat="1">
      <c r="A276" s="62"/>
      <c r="B276" s="62"/>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row>
    <row r="277" spans="1:43" s="56" customFormat="1">
      <c r="A277" s="62"/>
      <c r="B277" s="62"/>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row>
    <row r="278" spans="1:43" s="56" customFormat="1">
      <c r="A278" s="62"/>
      <c r="B278" s="62"/>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row>
    <row r="279" spans="1:43" s="56" customFormat="1">
      <c r="A279" s="62"/>
      <c r="B279" s="62"/>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row>
    <row r="280" spans="1:43" s="56" customFormat="1">
      <c r="A280" s="62"/>
      <c r="B280" s="62"/>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row>
    <row r="281" spans="1:43" s="56" customFormat="1">
      <c r="A281" s="62"/>
      <c r="B281" s="62"/>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row>
    <row r="282" spans="1:43" s="56" customFormat="1">
      <c r="A282" s="62"/>
      <c r="B282" s="62"/>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row>
    <row r="283" spans="1:43" s="56" customFormat="1">
      <c r="A283" s="62"/>
      <c r="B283" s="62"/>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row>
    <row r="284" spans="1:43" s="56" customFormat="1">
      <c r="A284" s="62"/>
      <c r="B284" s="62"/>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row>
  </sheetData>
  <phoneticPr fontId="30" type="noConversion"/>
  <conditionalFormatting sqref="C6:AO7">
    <cfRule type="expression" dxfId="51" priority="29">
      <formula>AND(C6&lt;&gt;"",C$77&lt;&gt;"",C6/C$77&gt;=90%,C6/C$77&lt;=100%)</formula>
    </cfRule>
    <cfRule type="expression" dxfId="50" priority="30">
      <formula>AND(C6&lt;&gt;"",C$77&lt;&gt;"",C6/C$77&gt;=87%,C6/C$77&lt;=89%)</formula>
    </cfRule>
    <cfRule type="expression" dxfId="49" priority="31">
      <formula>AND(C6&lt;&gt;"",C$77&lt;&gt;"",C6/C$77&gt;=81%,C6/C$77&lt;=86%)</formula>
    </cfRule>
    <cfRule type="expression" dxfId="48" priority="32">
      <formula>AND(C6&lt;&gt;"",C$77&lt;&gt;"",C6/C$77&lt;81%)</formula>
    </cfRule>
  </conditionalFormatting>
  <conditionalFormatting sqref="N25:AN30 N32:AN37 N39:AN44 N46:AN51">
    <cfRule type="expression" dxfId="47" priority="129">
      <formula>N25&lt;N95</formula>
    </cfRule>
    <cfRule type="expression" dxfId="46" priority="130">
      <formula>N25&gt;N95</formula>
    </cfRule>
    <cfRule type="expression" dxfId="45" priority="131">
      <formula>N25=N95</formula>
    </cfRule>
  </conditionalFormatting>
  <conditionalFormatting sqref="N25:AN30 N39:AN44 N46:AN51 N32:AN37">
    <cfRule type="colorScale" priority="132">
      <colorScale>
        <cfvo type="formula" val="$N$32&gt;$N$102"/>
        <cfvo type="formula" val="$N$32=$N$102"/>
        <cfvo type="formula" val="$N$32&lt;$N$102"/>
        <color rgb="FF00B050"/>
        <color rgb="FF92D050"/>
        <color rgb="FFFF0000"/>
      </colorScale>
    </cfRule>
  </conditionalFormatting>
  <conditionalFormatting sqref="Q18:AO18">
    <cfRule type="expression" dxfId="44" priority="133">
      <formula>Q18&gt;=Q$88</formula>
    </cfRule>
    <cfRule type="expression" dxfId="43" priority="134">
      <formula>AND(Q18&gt;=6.5, Q18&lt;Q$88)</formula>
    </cfRule>
    <cfRule type="expression" dxfId="42" priority="135">
      <formula>Q18&lt;6.5</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F13EA-4DE6-3B48-8EDA-279EF5FB50F9}">
  <dimension ref="A1"/>
  <sheetViews>
    <sheetView workbookViewId="0">
      <selection activeCell="M64" sqref="M64"/>
    </sheetView>
  </sheetViews>
  <sheetFormatPr defaultColWidth="8.85546875" defaultRowHeight="12.95"/>
  <sheetData>
    <row r="1" spans="1:1">
      <c r="A1" t="s">
        <v>134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15B2C-496B-3E4B-8D20-CD0074689036}">
  <dimension ref="A1:BD229"/>
  <sheetViews>
    <sheetView workbookViewId="0">
      <pane xSplit="2" ySplit="3" topLeftCell="C5" activePane="bottomRight" state="frozen"/>
      <selection pane="bottomRight" activeCell="F8" sqref="F8"/>
      <selection pane="bottomLeft" activeCell="A4" sqref="A4"/>
      <selection pane="topRight" activeCell="C1" sqref="C1"/>
    </sheetView>
  </sheetViews>
  <sheetFormatPr defaultColWidth="11.42578125" defaultRowHeight="12.95"/>
  <cols>
    <col min="1" max="1" width="55.42578125" style="50" bestFit="1" customWidth="1"/>
    <col min="2" max="2" width="52" style="50" customWidth="1"/>
    <col min="3" max="13" width="10.85546875" style="52"/>
    <col min="14" max="14" width="11.42578125" style="52"/>
    <col min="15" max="15" width="10.85546875" style="52"/>
    <col min="16" max="16" width="10.85546875" style="51"/>
  </cols>
  <sheetData>
    <row r="1" spans="1:16" s="14" customFormat="1" ht="26.25" customHeight="1">
      <c r="A1" s="1"/>
      <c r="B1" s="1"/>
      <c r="C1" s="9">
        <v>2026</v>
      </c>
      <c r="D1" s="9">
        <v>2026</v>
      </c>
      <c r="E1" s="9">
        <v>2026</v>
      </c>
      <c r="F1" s="9">
        <v>2026</v>
      </c>
      <c r="G1" s="9">
        <v>2026</v>
      </c>
      <c r="H1" s="9">
        <v>2026</v>
      </c>
      <c r="I1" s="9">
        <v>2026</v>
      </c>
      <c r="J1" s="9">
        <v>2026</v>
      </c>
      <c r="K1" s="9">
        <v>2026</v>
      </c>
      <c r="L1" s="9">
        <v>2026</v>
      </c>
      <c r="M1" s="9">
        <v>2026</v>
      </c>
      <c r="N1" s="9">
        <v>2026</v>
      </c>
      <c r="O1" s="9">
        <v>2026</v>
      </c>
    </row>
    <row r="2" spans="1:16" s="14" customFormat="1" ht="26.25" customHeight="1">
      <c r="A2" s="1" t="s">
        <v>135</v>
      </c>
      <c r="B2" s="1"/>
      <c r="C2" s="10">
        <v>1</v>
      </c>
      <c r="D2" s="10">
        <v>2</v>
      </c>
      <c r="E2" s="10">
        <v>3</v>
      </c>
      <c r="F2" s="10">
        <v>4</v>
      </c>
      <c r="G2" s="10">
        <v>5</v>
      </c>
      <c r="H2" s="10">
        <v>6</v>
      </c>
      <c r="I2" s="10">
        <v>7</v>
      </c>
      <c r="J2" s="10">
        <v>8</v>
      </c>
      <c r="K2" s="10">
        <v>9</v>
      </c>
      <c r="L2" s="10">
        <v>10</v>
      </c>
      <c r="M2" s="10">
        <v>11</v>
      </c>
      <c r="N2" s="10">
        <v>12</v>
      </c>
      <c r="O2" s="10">
        <v>13</v>
      </c>
    </row>
    <row r="3" spans="1:16" s="14" customFormat="1" ht="26.25" customHeight="1">
      <c r="A3" s="2" t="s">
        <v>135</v>
      </c>
      <c r="B3" s="2"/>
      <c r="C3" s="38"/>
      <c r="D3" s="38"/>
      <c r="E3" s="38"/>
      <c r="F3" s="38"/>
      <c r="G3" s="38"/>
      <c r="H3" s="38"/>
      <c r="I3" s="38"/>
      <c r="J3" s="38"/>
      <c r="K3" s="38"/>
      <c r="L3" s="38"/>
      <c r="M3" s="38"/>
      <c r="N3" s="49"/>
      <c r="O3" s="49"/>
    </row>
    <row r="4" spans="1:16" s="14" customFormat="1" ht="26.25" customHeight="1">
      <c r="A4" s="39" t="s">
        <v>136</v>
      </c>
      <c r="B4" s="6" t="s">
        <v>111</v>
      </c>
      <c r="P4" s="13" t="s">
        <v>93</v>
      </c>
    </row>
    <row r="5" spans="1:16" s="14" customFormat="1" ht="26.25" customHeight="1">
      <c r="A5" s="4" t="s">
        <v>137</v>
      </c>
      <c r="B5" s="16" t="s">
        <v>103</v>
      </c>
      <c r="C5" s="36"/>
      <c r="D5" s="36"/>
      <c r="E5" s="36"/>
      <c r="F5" s="36"/>
      <c r="G5" s="36"/>
      <c r="H5" s="36"/>
      <c r="I5" s="36"/>
      <c r="J5" s="36"/>
      <c r="K5" s="36"/>
      <c r="L5" s="36"/>
      <c r="M5" s="36"/>
      <c r="N5" s="36"/>
      <c r="O5" s="36"/>
      <c r="P5" s="13" t="s">
        <v>93</v>
      </c>
    </row>
    <row r="6" spans="1:16" s="14" customFormat="1" ht="26.25" customHeight="1">
      <c r="A6" s="4" t="s">
        <v>138</v>
      </c>
      <c r="B6" s="16" t="s">
        <v>103</v>
      </c>
      <c r="C6" s="36"/>
      <c r="D6" s="36"/>
      <c r="E6" s="36"/>
      <c r="F6" s="36"/>
      <c r="G6" s="36"/>
      <c r="H6" s="36"/>
      <c r="I6" s="36"/>
      <c r="J6" s="36"/>
      <c r="K6" s="36"/>
      <c r="L6" s="36"/>
      <c r="M6" s="36"/>
      <c r="N6" s="36"/>
      <c r="O6" s="36"/>
      <c r="P6" s="13" t="s">
        <v>93</v>
      </c>
    </row>
    <row r="7" spans="1:16" s="14" customFormat="1" ht="26.25" customHeight="1">
      <c r="A7" s="4" t="s">
        <v>139</v>
      </c>
      <c r="B7" s="16" t="s">
        <v>103</v>
      </c>
      <c r="C7" s="36"/>
      <c r="D7" s="36"/>
      <c r="E7" s="36"/>
      <c r="F7" s="36"/>
      <c r="G7" s="36"/>
      <c r="H7" s="36"/>
      <c r="I7" s="36"/>
      <c r="J7" s="36"/>
      <c r="K7" s="36"/>
      <c r="L7" s="36"/>
      <c r="M7" s="36"/>
      <c r="N7" s="36"/>
      <c r="O7" s="36"/>
      <c r="P7" s="13" t="s">
        <v>93</v>
      </c>
    </row>
    <row r="8" spans="1:16" s="14" customFormat="1" ht="26.25" customHeight="1">
      <c r="A8" s="4" t="s">
        <v>140</v>
      </c>
      <c r="B8" s="16" t="s">
        <v>103</v>
      </c>
      <c r="C8" s="36"/>
      <c r="D8" s="36"/>
      <c r="E8" s="36"/>
      <c r="F8" s="36"/>
      <c r="G8" s="36"/>
      <c r="H8" s="36"/>
      <c r="I8" s="36"/>
      <c r="J8" s="36"/>
      <c r="K8" s="36"/>
      <c r="L8" s="36"/>
      <c r="M8" s="36"/>
      <c r="N8" s="36"/>
      <c r="O8" s="36"/>
      <c r="P8" s="13" t="s">
        <v>93</v>
      </c>
    </row>
    <row r="9" spans="1:16" s="14" customFormat="1" ht="26.25" customHeight="1">
      <c r="A9" s="5" t="s">
        <v>141</v>
      </c>
      <c r="B9" s="16" t="s">
        <v>103</v>
      </c>
      <c r="C9" s="36"/>
      <c r="D9" s="36"/>
      <c r="E9" s="36"/>
      <c r="F9" s="36"/>
      <c r="G9" s="36"/>
      <c r="H9" s="36"/>
      <c r="I9" s="36"/>
      <c r="J9" s="36"/>
      <c r="K9" s="36"/>
      <c r="L9" s="36"/>
      <c r="M9" s="36"/>
      <c r="N9" s="36"/>
      <c r="O9" s="36"/>
      <c r="P9" s="13" t="s">
        <v>93</v>
      </c>
    </row>
    <row r="10" spans="1:16" s="14" customFormat="1" ht="26.25" customHeight="1">
      <c r="A10" s="39" t="s">
        <v>108</v>
      </c>
      <c r="B10" s="6" t="s">
        <v>111</v>
      </c>
      <c r="P10" s="13" t="s">
        <v>93</v>
      </c>
    </row>
    <row r="11" spans="1:16" s="14" customFormat="1" ht="26.25" customHeight="1">
      <c r="A11" s="3" t="s">
        <v>142</v>
      </c>
      <c r="B11" s="16" t="s">
        <v>103</v>
      </c>
      <c r="C11" s="36"/>
      <c r="D11" s="36"/>
      <c r="E11" s="36"/>
      <c r="F11" s="36"/>
      <c r="G11" s="36"/>
      <c r="H11" s="36"/>
      <c r="I11" s="36"/>
      <c r="J11" s="36"/>
      <c r="K11" s="36"/>
      <c r="L11" s="36"/>
      <c r="M11" s="36"/>
      <c r="N11" s="36"/>
      <c r="O11" s="36"/>
      <c r="P11" s="13" t="s">
        <v>93</v>
      </c>
    </row>
    <row r="12" spans="1:16" s="14" customFormat="1" ht="26.25" customHeight="1">
      <c r="A12" s="39" t="s">
        <v>110</v>
      </c>
      <c r="B12" s="6" t="s">
        <v>111</v>
      </c>
      <c r="P12" s="13" t="s">
        <v>93</v>
      </c>
    </row>
    <row r="13" spans="1:16" s="14" customFormat="1" ht="26.25" customHeight="1">
      <c r="A13" s="7" t="s">
        <v>143</v>
      </c>
      <c r="B13" s="16" t="s">
        <v>103</v>
      </c>
      <c r="C13" s="36"/>
      <c r="D13" s="36"/>
      <c r="E13" s="36"/>
      <c r="F13" s="36"/>
      <c r="G13" s="36"/>
      <c r="H13" s="36"/>
      <c r="I13" s="36"/>
      <c r="J13" s="36"/>
      <c r="K13" s="36"/>
      <c r="L13" s="36"/>
      <c r="M13" s="36"/>
      <c r="N13" s="36"/>
      <c r="O13" s="36"/>
      <c r="P13" s="13" t="s">
        <v>93</v>
      </c>
    </row>
    <row r="14" spans="1:16" s="14" customFormat="1" ht="26.25" hidden="1" customHeight="1">
      <c r="A14" s="7" t="s">
        <v>144</v>
      </c>
      <c r="B14" s="16" t="s">
        <v>103</v>
      </c>
      <c r="C14" s="36"/>
      <c r="D14" s="36"/>
      <c r="E14" s="36"/>
      <c r="F14" s="36"/>
      <c r="G14" s="36"/>
      <c r="H14" s="36"/>
      <c r="I14" s="36"/>
      <c r="J14" s="36"/>
      <c r="K14" s="36"/>
      <c r="L14" s="36"/>
      <c r="M14" s="36"/>
      <c r="N14" s="36"/>
      <c r="O14" s="36"/>
      <c r="P14" s="13" t="s">
        <v>93</v>
      </c>
    </row>
    <row r="15" spans="1:16" s="14" customFormat="1" ht="26.25" hidden="1" customHeight="1">
      <c r="A15" s="7" t="s">
        <v>144</v>
      </c>
      <c r="B15" s="16" t="s">
        <v>103</v>
      </c>
      <c r="C15" s="36"/>
      <c r="D15" s="36"/>
      <c r="E15" s="36"/>
      <c r="F15" s="36"/>
      <c r="G15" s="36"/>
      <c r="H15" s="36"/>
      <c r="I15" s="36"/>
      <c r="J15" s="36"/>
      <c r="K15" s="36"/>
      <c r="L15" s="36"/>
      <c r="M15" s="36"/>
      <c r="N15" s="36"/>
      <c r="O15" s="36"/>
      <c r="P15" s="13" t="s">
        <v>93</v>
      </c>
    </row>
    <row r="16" spans="1:16" s="14" customFormat="1" ht="26.25" customHeight="1">
      <c r="A16" s="39" t="s">
        <v>113</v>
      </c>
      <c r="B16" s="6" t="s">
        <v>111</v>
      </c>
      <c r="P16" s="13" t="s">
        <v>93</v>
      </c>
    </row>
    <row r="17" spans="1:16" s="14" customFormat="1" ht="26.25" customHeight="1">
      <c r="A17" s="7" t="s">
        <v>145</v>
      </c>
      <c r="B17" s="16" t="s">
        <v>103</v>
      </c>
      <c r="C17" s="36"/>
      <c r="D17" s="36"/>
      <c r="E17" s="36"/>
      <c r="F17" s="36"/>
      <c r="G17" s="36"/>
      <c r="H17" s="36"/>
      <c r="I17" s="36"/>
      <c r="J17" s="36"/>
      <c r="K17" s="36"/>
      <c r="L17" s="36"/>
      <c r="M17" s="36"/>
      <c r="N17" s="36"/>
      <c r="O17" s="36"/>
      <c r="P17" s="13" t="s">
        <v>93</v>
      </c>
    </row>
    <row r="18" spans="1:16" s="14" customFormat="1" ht="26.25" customHeight="1">
      <c r="A18" s="7" t="s">
        <v>146</v>
      </c>
      <c r="B18" s="16" t="s">
        <v>103</v>
      </c>
      <c r="C18" s="36"/>
      <c r="D18" s="36"/>
      <c r="E18" s="36"/>
      <c r="F18" s="36"/>
      <c r="G18" s="36"/>
      <c r="H18" s="36"/>
      <c r="I18" s="36"/>
      <c r="J18" s="36"/>
      <c r="K18" s="36"/>
      <c r="L18" s="36"/>
      <c r="M18" s="36"/>
      <c r="N18" s="36"/>
      <c r="O18" s="36"/>
      <c r="P18" s="13" t="s">
        <v>93</v>
      </c>
    </row>
    <row r="19" spans="1:16" s="14" customFormat="1" ht="26.25" customHeight="1">
      <c r="A19" s="7" t="s">
        <v>147</v>
      </c>
      <c r="B19" s="16" t="s">
        <v>103</v>
      </c>
      <c r="C19" s="36"/>
      <c r="D19" s="36"/>
      <c r="E19" s="36"/>
      <c r="F19" s="36"/>
      <c r="G19" s="36"/>
      <c r="H19" s="36"/>
      <c r="I19" s="36"/>
      <c r="J19" s="36"/>
      <c r="K19" s="36"/>
      <c r="L19" s="36"/>
      <c r="M19" s="36"/>
      <c r="N19" s="36"/>
      <c r="O19" s="36"/>
      <c r="P19" s="13" t="s">
        <v>93</v>
      </c>
    </row>
    <row r="20" spans="1:16" s="14" customFormat="1" ht="26.25" customHeight="1">
      <c r="A20" s="7" t="s">
        <v>95</v>
      </c>
      <c r="B20" s="16" t="s">
        <v>103</v>
      </c>
      <c r="C20" s="36"/>
      <c r="D20" s="36"/>
      <c r="E20" s="36"/>
      <c r="F20" s="36"/>
      <c r="G20" s="36"/>
      <c r="H20" s="36"/>
      <c r="I20" s="36"/>
      <c r="J20" s="36"/>
      <c r="K20" s="36"/>
      <c r="L20" s="36"/>
      <c r="M20" s="36"/>
      <c r="N20" s="36"/>
      <c r="O20" s="36"/>
      <c r="P20" s="13"/>
    </row>
    <row r="21" spans="1:16" s="14" customFormat="1" ht="26.25" customHeight="1">
      <c r="A21" s="39" t="s">
        <v>123</v>
      </c>
      <c r="B21" s="6" t="s">
        <v>111</v>
      </c>
      <c r="P21" s="13" t="s">
        <v>93</v>
      </c>
    </row>
    <row r="22" spans="1:16" s="14" customFormat="1" ht="26.25" customHeight="1">
      <c r="A22" s="61" t="s">
        <v>133</v>
      </c>
      <c r="B22" s="16" t="s">
        <v>103</v>
      </c>
      <c r="C22" s="36"/>
      <c r="D22" s="36"/>
      <c r="E22" s="36"/>
      <c r="F22" s="36"/>
      <c r="G22" s="36"/>
      <c r="H22" s="36"/>
      <c r="I22" s="36"/>
      <c r="J22" s="36"/>
      <c r="K22" s="36"/>
      <c r="L22" s="36"/>
      <c r="M22" s="36"/>
      <c r="N22" s="36"/>
      <c r="O22" s="36"/>
      <c r="P22" s="13" t="s">
        <v>93</v>
      </c>
    </row>
    <row r="23" spans="1:16" s="14" customFormat="1" ht="26.25" customHeight="1">
      <c r="A23" s="39" t="s">
        <v>125</v>
      </c>
      <c r="B23" s="6" t="s">
        <v>111</v>
      </c>
      <c r="P23" s="13" t="s">
        <v>93</v>
      </c>
    </row>
    <row r="24" spans="1:16" s="14" customFormat="1" ht="26.25" customHeight="1">
      <c r="A24" s="7" t="s">
        <v>144</v>
      </c>
      <c r="B24" s="16" t="s">
        <v>103</v>
      </c>
      <c r="C24" s="36"/>
      <c r="D24" s="36"/>
      <c r="E24" s="36"/>
      <c r="F24" s="36"/>
      <c r="G24" s="36"/>
      <c r="H24" s="36"/>
      <c r="I24" s="36"/>
      <c r="J24" s="36"/>
      <c r="K24" s="36"/>
      <c r="L24" s="36"/>
      <c r="M24" s="36"/>
      <c r="N24" s="36"/>
      <c r="O24" s="36"/>
      <c r="P24" s="13" t="s">
        <v>93</v>
      </c>
    </row>
    <row r="25" spans="1:16" s="14" customFormat="1" ht="26.25" customHeight="1">
      <c r="A25" s="7" t="s">
        <v>144</v>
      </c>
      <c r="B25" s="16" t="s">
        <v>103</v>
      </c>
      <c r="C25" s="36"/>
      <c r="D25" s="36"/>
      <c r="E25" s="36"/>
      <c r="F25" s="36"/>
      <c r="G25" s="36"/>
      <c r="H25" s="36"/>
      <c r="I25" s="36"/>
      <c r="J25" s="36"/>
      <c r="K25" s="36"/>
      <c r="L25" s="36"/>
      <c r="M25" s="36"/>
      <c r="N25" s="36"/>
      <c r="O25" s="36"/>
      <c r="P25" s="13" t="s">
        <v>93</v>
      </c>
    </row>
    <row r="26" spans="1:16" s="14" customFormat="1" ht="26.25" customHeight="1">
      <c r="A26" s="7" t="s">
        <v>144</v>
      </c>
      <c r="B26" s="16" t="s">
        <v>103</v>
      </c>
      <c r="C26" s="36"/>
      <c r="D26" s="36"/>
      <c r="E26" s="36"/>
      <c r="F26" s="36"/>
      <c r="G26" s="36"/>
      <c r="H26" s="36"/>
      <c r="I26" s="36"/>
      <c r="J26" s="36"/>
      <c r="K26" s="36"/>
      <c r="L26" s="36"/>
      <c r="M26" s="36"/>
      <c r="N26" s="36"/>
      <c r="O26" s="36"/>
      <c r="P26" s="13" t="s">
        <v>93</v>
      </c>
    </row>
    <row r="27" spans="1:16" s="14" customFormat="1">
      <c r="A27" s="15"/>
      <c r="B27" s="15"/>
      <c r="C27" s="46"/>
      <c r="D27" s="46"/>
      <c r="E27" s="46"/>
      <c r="F27" s="46"/>
      <c r="G27" s="46"/>
      <c r="H27" s="46"/>
      <c r="I27" s="46"/>
      <c r="J27" s="46"/>
      <c r="K27" s="46"/>
      <c r="L27" s="46"/>
      <c r="M27" s="46"/>
      <c r="N27" s="46"/>
      <c r="O27" s="46"/>
      <c r="P27" s="13" t="s">
        <v>93</v>
      </c>
    </row>
    <row r="28" spans="1:16" s="14" customFormat="1">
      <c r="A28" s="15"/>
      <c r="B28" s="15"/>
      <c r="C28" s="46"/>
      <c r="D28" s="46"/>
      <c r="E28" s="46"/>
      <c r="F28" s="46"/>
      <c r="G28" s="46"/>
      <c r="H28" s="46"/>
      <c r="I28" s="46"/>
      <c r="J28" s="46"/>
      <c r="K28" s="46"/>
      <c r="L28" s="46"/>
      <c r="M28" s="46"/>
      <c r="N28" s="46"/>
      <c r="O28" s="46"/>
      <c r="P28" s="13"/>
    </row>
    <row r="29" spans="1:16" s="14" customFormat="1">
      <c r="A29" s="15"/>
      <c r="B29" s="15"/>
      <c r="C29" s="46"/>
      <c r="D29" s="46"/>
      <c r="E29" s="46"/>
      <c r="F29" s="46"/>
      <c r="G29" s="46"/>
      <c r="H29" s="46"/>
      <c r="I29" s="46"/>
      <c r="J29" s="46"/>
      <c r="K29" s="46"/>
      <c r="L29" s="46"/>
      <c r="M29" s="46"/>
      <c r="N29" s="46"/>
      <c r="O29" s="46"/>
      <c r="P29" s="13"/>
    </row>
    <row r="30" spans="1:16" s="14" customFormat="1">
      <c r="A30" s="15"/>
      <c r="B30" s="15"/>
      <c r="C30" s="46"/>
      <c r="D30" s="46"/>
      <c r="E30" s="46"/>
      <c r="F30" s="46"/>
      <c r="G30" s="46"/>
      <c r="H30" s="46"/>
      <c r="I30" s="46"/>
      <c r="J30" s="46"/>
      <c r="K30" s="46"/>
      <c r="L30" s="46"/>
      <c r="M30" s="46"/>
      <c r="N30" s="46"/>
      <c r="O30" s="46"/>
      <c r="P30" s="13"/>
    </row>
    <row r="31" spans="1:16" s="14" customFormat="1">
      <c r="A31" s="15"/>
      <c r="B31" s="15"/>
      <c r="C31" s="46"/>
      <c r="D31" s="46"/>
      <c r="E31" s="46"/>
      <c r="F31" s="46"/>
      <c r="G31" s="46"/>
      <c r="H31" s="46"/>
      <c r="I31" s="46"/>
      <c r="J31" s="46"/>
      <c r="K31" s="46"/>
      <c r="L31" s="46"/>
      <c r="M31" s="46"/>
      <c r="N31" s="46"/>
      <c r="O31" s="46"/>
      <c r="P31" s="13"/>
    </row>
    <row r="32" spans="1:16" s="14" customFormat="1">
      <c r="A32" s="15"/>
      <c r="B32" s="15"/>
      <c r="C32" s="46"/>
      <c r="D32" s="46"/>
      <c r="E32" s="46"/>
      <c r="F32" s="46"/>
      <c r="G32" s="46"/>
      <c r="H32" s="46"/>
      <c r="I32" s="46"/>
      <c r="J32" s="46"/>
      <c r="K32" s="46"/>
      <c r="L32" s="46"/>
      <c r="M32" s="46"/>
      <c r="N32" s="46"/>
      <c r="O32" s="46"/>
      <c r="P32" s="13"/>
    </row>
    <row r="33" spans="1:16" s="14" customFormat="1">
      <c r="A33" s="15"/>
      <c r="B33" s="15"/>
      <c r="C33" s="46"/>
      <c r="D33" s="46"/>
      <c r="E33" s="46"/>
      <c r="F33" s="46"/>
      <c r="G33" s="46"/>
      <c r="H33" s="46"/>
      <c r="I33" s="46"/>
      <c r="J33" s="46"/>
      <c r="K33" s="46"/>
      <c r="L33" s="46"/>
      <c r="M33" s="46"/>
      <c r="N33" s="46"/>
      <c r="O33" s="46"/>
      <c r="P33" s="13"/>
    </row>
    <row r="34" spans="1:16" s="14" customFormat="1">
      <c r="A34" s="15"/>
      <c r="B34" s="15"/>
      <c r="C34" s="46"/>
      <c r="D34" s="46"/>
      <c r="E34" s="46"/>
      <c r="F34" s="46"/>
      <c r="G34" s="46"/>
      <c r="H34" s="46"/>
      <c r="I34" s="46"/>
      <c r="J34" s="46"/>
      <c r="K34" s="46"/>
      <c r="L34" s="46"/>
      <c r="M34" s="46"/>
      <c r="N34" s="46"/>
      <c r="O34" s="46"/>
      <c r="P34" s="13"/>
    </row>
    <row r="35" spans="1:16" s="14" customFormat="1">
      <c r="A35" s="15"/>
      <c r="B35" s="15"/>
      <c r="C35" s="46"/>
      <c r="D35" s="46"/>
      <c r="E35" s="46"/>
      <c r="F35" s="46"/>
      <c r="G35" s="46"/>
      <c r="H35" s="46"/>
      <c r="I35" s="46"/>
      <c r="J35" s="46"/>
      <c r="K35" s="46"/>
      <c r="L35" s="46"/>
      <c r="M35" s="46"/>
      <c r="N35" s="46"/>
      <c r="O35" s="46"/>
      <c r="P35" s="13"/>
    </row>
    <row r="36" spans="1:16" s="14" customFormat="1">
      <c r="A36" s="15"/>
      <c r="B36" s="15"/>
      <c r="C36" s="46"/>
      <c r="D36" s="46"/>
      <c r="E36" s="46"/>
      <c r="F36" s="46"/>
      <c r="G36" s="46"/>
      <c r="H36" s="46"/>
      <c r="I36" s="46"/>
      <c r="J36" s="46"/>
      <c r="K36" s="46"/>
      <c r="L36" s="46"/>
      <c r="M36" s="46"/>
      <c r="N36" s="46"/>
      <c r="O36" s="46"/>
      <c r="P36" s="13"/>
    </row>
    <row r="37" spans="1:16" s="14" customFormat="1">
      <c r="A37" s="15"/>
      <c r="B37" s="15"/>
      <c r="C37" s="46"/>
      <c r="D37" s="46"/>
      <c r="E37" s="46"/>
      <c r="F37" s="46"/>
      <c r="G37" s="46"/>
      <c r="H37" s="46"/>
      <c r="I37" s="46"/>
      <c r="J37" s="46"/>
      <c r="K37" s="46"/>
      <c r="L37" s="46"/>
      <c r="M37" s="46"/>
      <c r="N37" s="46"/>
      <c r="O37" s="46"/>
      <c r="P37" s="13"/>
    </row>
    <row r="38" spans="1:16" s="14" customFormat="1">
      <c r="A38" s="15"/>
      <c r="B38" s="15"/>
      <c r="C38" s="46"/>
      <c r="D38" s="46"/>
      <c r="E38" s="46"/>
      <c r="F38" s="46"/>
      <c r="G38" s="46"/>
      <c r="H38" s="46"/>
      <c r="I38" s="46"/>
      <c r="J38" s="46"/>
      <c r="K38" s="46"/>
      <c r="L38" s="46"/>
      <c r="M38" s="46"/>
      <c r="N38" s="46"/>
      <c r="O38" s="46"/>
      <c r="P38" s="13"/>
    </row>
    <row r="39" spans="1:16" s="14" customFormat="1">
      <c r="A39" s="15"/>
      <c r="B39" s="15"/>
      <c r="C39" s="46"/>
      <c r="D39" s="46"/>
      <c r="E39" s="46"/>
      <c r="F39" s="46"/>
      <c r="G39" s="46"/>
      <c r="H39" s="46"/>
      <c r="I39" s="46"/>
      <c r="J39" s="46"/>
      <c r="K39" s="46"/>
      <c r="L39" s="46"/>
      <c r="M39" s="46"/>
      <c r="N39" s="46"/>
      <c r="O39" s="46"/>
      <c r="P39" s="13"/>
    </row>
    <row r="40" spans="1:16" s="14" customFormat="1">
      <c r="A40" s="15"/>
      <c r="B40" s="15"/>
      <c r="C40" s="46"/>
      <c r="D40" s="46"/>
      <c r="E40" s="46"/>
      <c r="F40" s="46"/>
      <c r="G40" s="46"/>
      <c r="H40" s="46"/>
      <c r="I40" s="46"/>
      <c r="J40" s="46"/>
      <c r="K40" s="46"/>
      <c r="L40" s="46"/>
      <c r="M40" s="46"/>
      <c r="N40" s="46"/>
      <c r="O40" s="46"/>
      <c r="P40" s="13"/>
    </row>
    <row r="41" spans="1:16" s="14" customFormat="1">
      <c r="A41" s="15"/>
      <c r="B41" s="15"/>
      <c r="C41" s="46"/>
      <c r="D41" s="46"/>
      <c r="E41" s="46"/>
      <c r="F41" s="46"/>
      <c r="G41" s="46"/>
      <c r="H41" s="46"/>
      <c r="I41" s="46"/>
      <c r="J41" s="46"/>
      <c r="K41" s="46"/>
      <c r="L41" s="46"/>
      <c r="M41" s="46"/>
      <c r="N41" s="46"/>
      <c r="O41" s="46"/>
      <c r="P41" s="13"/>
    </row>
    <row r="42" spans="1:16" s="14" customFormat="1">
      <c r="A42" s="15"/>
      <c r="B42" s="15"/>
      <c r="C42" s="46"/>
      <c r="D42" s="46"/>
      <c r="E42" s="46"/>
      <c r="F42" s="46"/>
      <c r="G42" s="46"/>
      <c r="H42" s="46"/>
      <c r="I42" s="46"/>
      <c r="J42" s="46"/>
      <c r="K42" s="46"/>
      <c r="L42" s="46"/>
      <c r="M42" s="46"/>
      <c r="N42" s="46"/>
      <c r="O42" s="46"/>
      <c r="P42" s="13"/>
    </row>
    <row r="43" spans="1:16" s="14" customFormat="1">
      <c r="A43" s="15"/>
      <c r="B43" s="15"/>
      <c r="C43" s="46"/>
      <c r="D43" s="46"/>
      <c r="E43" s="46"/>
      <c r="F43" s="46"/>
      <c r="G43" s="46"/>
      <c r="H43" s="46"/>
      <c r="I43" s="46"/>
      <c r="J43" s="46"/>
      <c r="K43" s="46"/>
      <c r="L43" s="46"/>
      <c r="M43" s="46"/>
      <c r="N43" s="46"/>
      <c r="O43" s="46"/>
      <c r="P43" s="13"/>
    </row>
    <row r="44" spans="1:16" s="14" customFormat="1">
      <c r="A44" s="15"/>
      <c r="B44" s="15"/>
      <c r="C44" s="46"/>
      <c r="D44" s="46"/>
      <c r="E44" s="46"/>
      <c r="F44" s="46"/>
      <c r="G44" s="46"/>
      <c r="H44" s="46"/>
      <c r="I44" s="46"/>
      <c r="J44" s="46"/>
      <c r="K44" s="46"/>
      <c r="L44" s="46"/>
      <c r="M44" s="46"/>
      <c r="N44" s="46"/>
      <c r="O44" s="46"/>
      <c r="P44" s="13"/>
    </row>
    <row r="45" spans="1:16" s="14" customFormat="1">
      <c r="A45" s="15"/>
      <c r="B45" s="15"/>
      <c r="C45" s="46"/>
      <c r="D45" s="46"/>
      <c r="E45" s="46"/>
      <c r="F45" s="46"/>
      <c r="G45" s="46"/>
      <c r="H45" s="46"/>
      <c r="I45" s="46"/>
      <c r="J45" s="46"/>
      <c r="K45" s="46"/>
      <c r="L45" s="46"/>
      <c r="M45" s="46"/>
      <c r="N45" s="46"/>
      <c r="O45" s="46"/>
      <c r="P45" s="13"/>
    </row>
    <row r="46" spans="1:16" s="14" customFormat="1">
      <c r="A46" s="15"/>
      <c r="B46" s="15"/>
      <c r="C46" s="46"/>
      <c r="D46" s="46"/>
      <c r="E46" s="46"/>
      <c r="F46" s="46"/>
      <c r="G46" s="46"/>
      <c r="H46" s="46"/>
      <c r="I46" s="46"/>
      <c r="J46" s="46"/>
      <c r="K46" s="46"/>
      <c r="L46" s="46"/>
      <c r="M46" s="46"/>
      <c r="N46" s="46"/>
      <c r="O46" s="46"/>
      <c r="P46" s="13"/>
    </row>
    <row r="47" spans="1:16" s="14" customFormat="1">
      <c r="A47" s="15"/>
      <c r="B47" s="15"/>
      <c r="C47" s="46"/>
      <c r="D47" s="46"/>
      <c r="E47" s="46"/>
      <c r="F47" s="46"/>
      <c r="G47" s="46"/>
      <c r="H47" s="46"/>
      <c r="I47" s="46"/>
      <c r="J47" s="46"/>
      <c r="K47" s="46"/>
      <c r="L47" s="46"/>
      <c r="M47" s="46"/>
      <c r="N47" s="46"/>
      <c r="O47" s="46"/>
      <c r="P47" s="13"/>
    </row>
    <row r="48" spans="1:16" s="14" customFormat="1">
      <c r="A48" s="15"/>
      <c r="B48" s="15"/>
      <c r="C48" s="46"/>
      <c r="D48" s="46"/>
      <c r="E48" s="46"/>
      <c r="F48" s="46"/>
      <c r="G48" s="46"/>
      <c r="H48" s="46"/>
      <c r="I48" s="46"/>
      <c r="J48" s="46"/>
      <c r="K48" s="46"/>
      <c r="L48" s="46"/>
      <c r="M48" s="46"/>
      <c r="N48" s="46"/>
      <c r="O48" s="46"/>
      <c r="P48" s="13"/>
    </row>
    <row r="49" spans="1:56" s="14" customFormat="1">
      <c r="A49" s="15"/>
      <c r="B49" s="15"/>
      <c r="C49" s="46"/>
      <c r="D49" s="46"/>
      <c r="E49" s="46"/>
      <c r="F49" s="46"/>
      <c r="G49" s="46"/>
      <c r="H49" s="46"/>
      <c r="I49" s="46"/>
      <c r="J49" s="46"/>
      <c r="K49" s="46"/>
      <c r="L49" s="46"/>
      <c r="M49" s="46"/>
      <c r="N49" s="46"/>
      <c r="O49" s="46"/>
      <c r="P49" s="13"/>
    </row>
    <row r="50" spans="1:56" s="14" customFormat="1">
      <c r="A50" s="15"/>
      <c r="B50" s="15"/>
      <c r="C50" s="46"/>
      <c r="D50" s="46"/>
      <c r="E50" s="46"/>
      <c r="F50" s="46"/>
      <c r="G50" s="46"/>
      <c r="H50" s="46"/>
      <c r="I50" s="46"/>
      <c r="J50" s="46"/>
      <c r="K50" s="46"/>
      <c r="L50" s="46"/>
      <c r="M50" s="46"/>
      <c r="N50" s="46"/>
      <c r="O50" s="46"/>
      <c r="P50" s="13"/>
    </row>
    <row r="51" spans="1:56" s="14" customFormat="1">
      <c r="A51" s="15"/>
      <c r="B51" s="15"/>
      <c r="C51" s="46"/>
      <c r="D51" s="46"/>
      <c r="E51" s="46"/>
      <c r="F51" s="46"/>
      <c r="G51" s="46"/>
      <c r="H51" s="46"/>
      <c r="I51" s="46"/>
      <c r="J51" s="46"/>
      <c r="K51" s="46"/>
      <c r="L51" s="46"/>
      <c r="M51" s="46"/>
      <c r="N51" s="46"/>
      <c r="O51" s="46"/>
      <c r="P51" s="13"/>
    </row>
    <row r="52" spans="1:56" s="14" customFormat="1">
      <c r="A52" s="15"/>
      <c r="B52" s="15"/>
      <c r="C52" s="46"/>
      <c r="D52" s="46"/>
      <c r="E52" s="46"/>
      <c r="F52" s="46"/>
      <c r="G52" s="46"/>
      <c r="H52" s="46"/>
      <c r="I52" s="46"/>
      <c r="J52" s="46"/>
      <c r="K52" s="46"/>
      <c r="L52" s="46"/>
      <c r="M52" s="46"/>
      <c r="N52" s="46"/>
      <c r="O52" s="46"/>
      <c r="P52" s="13"/>
    </row>
    <row r="53" spans="1:56" s="14" customFormat="1">
      <c r="A53" s="15"/>
      <c r="B53" s="15"/>
      <c r="C53" s="46"/>
      <c r="D53" s="46"/>
      <c r="E53" s="46"/>
      <c r="F53" s="46"/>
      <c r="G53" s="46"/>
      <c r="H53" s="46"/>
      <c r="I53" s="46"/>
      <c r="J53" s="46"/>
      <c r="K53" s="46"/>
      <c r="L53" s="46"/>
      <c r="M53" s="46"/>
      <c r="N53" s="46"/>
      <c r="O53" s="46"/>
      <c r="P53" s="13" t="s">
        <v>93</v>
      </c>
    </row>
    <row r="54" spans="1:56" s="14" customFormat="1">
      <c r="A54" s="15"/>
      <c r="B54" s="15"/>
      <c r="C54" s="46"/>
      <c r="D54" s="46"/>
      <c r="E54" s="46"/>
      <c r="F54" s="46"/>
      <c r="G54" s="46"/>
      <c r="H54" s="46"/>
      <c r="I54" s="46"/>
      <c r="J54" s="46"/>
      <c r="K54" s="46"/>
      <c r="L54" s="46"/>
      <c r="M54" s="46"/>
      <c r="N54" s="46"/>
      <c r="O54" s="46"/>
      <c r="P54" s="13" t="s">
        <v>93</v>
      </c>
    </row>
    <row r="55" spans="1:56" s="14" customFormat="1" ht="32.25" customHeight="1">
      <c r="A55" s="11" t="s">
        <v>130</v>
      </c>
      <c r="B55" s="11"/>
      <c r="C55" s="37"/>
      <c r="D55" s="18"/>
      <c r="E55" s="18"/>
      <c r="F55" s="19" t="s">
        <v>148</v>
      </c>
      <c r="G55" s="18"/>
      <c r="H55" s="18"/>
      <c r="I55" s="18"/>
      <c r="J55" s="18"/>
      <c r="K55" s="18"/>
      <c r="L55" s="18"/>
      <c r="M55" s="18"/>
      <c r="N55" s="18"/>
      <c r="O55" s="18"/>
      <c r="P55" s="13" t="s">
        <v>93</v>
      </c>
      <c r="Q55" s="48"/>
      <c r="R55" s="48"/>
      <c r="S55" s="48"/>
      <c r="T55" s="48"/>
      <c r="U55" s="48"/>
      <c r="V55" s="48"/>
      <c r="W55" s="48"/>
      <c r="X55" s="48"/>
      <c r="Y55" s="48"/>
      <c r="Z55" s="48"/>
      <c r="AA55" s="48"/>
      <c r="AB55" s="48"/>
      <c r="AC55" s="47"/>
      <c r="AD55" s="48"/>
      <c r="AE55" s="48"/>
      <c r="AF55" s="48"/>
      <c r="AG55" s="48"/>
      <c r="AH55" s="48"/>
      <c r="AI55" s="48"/>
      <c r="AJ55" s="48"/>
      <c r="AK55" s="48"/>
      <c r="AL55" s="48"/>
      <c r="AM55" s="48"/>
      <c r="AN55" s="48"/>
      <c r="AO55" s="48"/>
      <c r="AP55" s="47"/>
      <c r="AQ55" s="48"/>
      <c r="AR55" s="48"/>
      <c r="AS55" s="48"/>
      <c r="AT55" s="48"/>
      <c r="AU55" s="48"/>
      <c r="AV55" s="48"/>
      <c r="AW55" s="48"/>
      <c r="AX55" s="48"/>
      <c r="AY55" s="48"/>
      <c r="AZ55" s="48"/>
      <c r="BA55" s="48"/>
      <c r="BB55" s="48"/>
      <c r="BC55" s="48"/>
      <c r="BD55" s="17" t="s">
        <v>93</v>
      </c>
    </row>
    <row r="56" spans="1:56" s="14" customFormat="1" ht="25.5" customHeight="1">
      <c r="A56" s="40" t="s">
        <v>149</v>
      </c>
      <c r="B56" s="12" t="s">
        <v>111</v>
      </c>
      <c r="P56" s="13" t="s">
        <v>93</v>
      </c>
    </row>
    <row r="57" spans="1:56" s="14" customFormat="1" ht="25.5" customHeight="1">
      <c r="A57" s="3" t="s">
        <v>150</v>
      </c>
      <c r="B57" s="16" t="s">
        <v>103</v>
      </c>
      <c r="C57" s="41">
        <v>1</v>
      </c>
      <c r="D57" s="41"/>
      <c r="E57" s="41"/>
      <c r="F57" s="41"/>
      <c r="G57" s="41"/>
      <c r="H57" s="41"/>
      <c r="I57" s="41"/>
      <c r="J57" s="41"/>
      <c r="K57" s="41"/>
      <c r="L57" s="41"/>
      <c r="M57" s="41"/>
      <c r="N57" s="41"/>
      <c r="O57" s="41"/>
      <c r="P57" s="13" t="s">
        <v>93</v>
      </c>
    </row>
    <row r="58" spans="1:56" s="14" customFormat="1" ht="25.5" customHeight="1">
      <c r="A58" s="3" t="s">
        <v>151</v>
      </c>
      <c r="B58" s="16" t="s">
        <v>103</v>
      </c>
      <c r="C58" s="42"/>
      <c r="D58" s="42"/>
      <c r="E58" s="42"/>
      <c r="F58" s="42"/>
      <c r="G58" s="42"/>
      <c r="H58" s="42"/>
      <c r="I58" s="42"/>
      <c r="J58" s="42"/>
      <c r="K58" s="42"/>
      <c r="L58" s="42"/>
      <c r="M58" s="42"/>
      <c r="N58" s="42"/>
      <c r="O58" s="42"/>
      <c r="P58" s="13" t="s">
        <v>93</v>
      </c>
    </row>
    <row r="59" spans="1:56" s="14" customFormat="1" ht="25.5" customHeight="1">
      <c r="A59" s="3" t="s">
        <v>152</v>
      </c>
      <c r="B59" s="16" t="s">
        <v>103</v>
      </c>
      <c r="C59" s="41"/>
      <c r="D59" s="41"/>
      <c r="E59" s="41"/>
      <c r="F59" s="41"/>
      <c r="G59" s="41"/>
      <c r="H59" s="41"/>
      <c r="I59" s="41"/>
      <c r="J59" s="41"/>
      <c r="K59" s="41"/>
      <c r="L59" s="41"/>
      <c r="M59" s="41"/>
      <c r="N59" s="41"/>
      <c r="O59" s="41"/>
      <c r="P59" s="13" t="s">
        <v>93</v>
      </c>
    </row>
    <row r="60" spans="1:56" s="14" customFormat="1" ht="25.5" customHeight="1">
      <c r="A60" s="40" t="s">
        <v>136</v>
      </c>
      <c r="B60" s="12" t="s">
        <v>111</v>
      </c>
      <c r="C60" s="43"/>
      <c r="D60" s="43"/>
      <c r="E60" s="43"/>
      <c r="F60" s="43"/>
      <c r="G60" s="43"/>
      <c r="H60" s="43"/>
      <c r="I60" s="43"/>
      <c r="J60" s="43"/>
      <c r="K60" s="43"/>
      <c r="L60" s="43"/>
      <c r="M60" s="43"/>
      <c r="N60" s="43"/>
      <c r="O60" s="43"/>
      <c r="P60" s="13" t="s">
        <v>93</v>
      </c>
    </row>
    <row r="61" spans="1:56" s="14" customFormat="1" ht="25.5" customHeight="1">
      <c r="A61" s="4" t="s">
        <v>137</v>
      </c>
      <c r="B61" s="16" t="s">
        <v>103</v>
      </c>
      <c r="C61" s="41"/>
      <c r="D61" s="41"/>
      <c r="E61" s="41"/>
      <c r="F61" s="41"/>
      <c r="G61" s="41"/>
      <c r="H61" s="41"/>
      <c r="I61" s="41"/>
      <c r="J61" s="41"/>
      <c r="K61" s="41"/>
      <c r="L61" s="41"/>
      <c r="M61" s="41"/>
      <c r="N61" s="41"/>
      <c r="O61" s="41"/>
      <c r="P61" s="13" t="s">
        <v>93</v>
      </c>
    </row>
    <row r="62" spans="1:56" s="14" customFormat="1" ht="25.5" customHeight="1">
      <c r="A62" s="4" t="s">
        <v>138</v>
      </c>
      <c r="B62" s="16" t="s">
        <v>103</v>
      </c>
      <c r="C62" s="42"/>
      <c r="D62" s="42"/>
      <c r="E62" s="42"/>
      <c r="F62" s="42"/>
      <c r="G62" s="42"/>
      <c r="H62" s="42"/>
      <c r="I62" s="42"/>
      <c r="J62" s="42"/>
      <c r="K62" s="42"/>
      <c r="L62" s="42"/>
      <c r="M62" s="42"/>
      <c r="N62" s="42"/>
      <c r="O62" s="42"/>
      <c r="P62" s="13" t="s">
        <v>93</v>
      </c>
    </row>
    <row r="63" spans="1:56" s="14" customFormat="1" ht="25.5" customHeight="1">
      <c r="A63" s="4" t="s">
        <v>139</v>
      </c>
      <c r="B63" s="16" t="s">
        <v>103</v>
      </c>
      <c r="C63" s="42"/>
      <c r="D63" s="42"/>
      <c r="E63" s="42"/>
      <c r="F63" s="42"/>
      <c r="G63" s="42"/>
      <c r="H63" s="42"/>
      <c r="I63" s="42"/>
      <c r="J63" s="42"/>
      <c r="K63" s="42"/>
      <c r="L63" s="42"/>
      <c r="M63" s="42"/>
      <c r="N63" s="42"/>
      <c r="O63" s="42"/>
      <c r="P63" s="13" t="s">
        <v>93</v>
      </c>
    </row>
    <row r="64" spans="1:56" s="14" customFormat="1" ht="25.5" customHeight="1">
      <c r="A64" s="4" t="s">
        <v>140</v>
      </c>
      <c r="B64" s="16" t="s">
        <v>103</v>
      </c>
      <c r="C64" s="42"/>
      <c r="D64" s="42"/>
      <c r="E64" s="42"/>
      <c r="F64" s="42"/>
      <c r="G64" s="42"/>
      <c r="H64" s="42"/>
      <c r="I64" s="42"/>
      <c r="J64" s="42"/>
      <c r="K64" s="42"/>
      <c r="L64" s="42"/>
      <c r="M64" s="42"/>
      <c r="N64" s="42"/>
      <c r="O64" s="42"/>
      <c r="P64" s="13" t="s">
        <v>93</v>
      </c>
    </row>
    <row r="65" spans="1:16" s="14" customFormat="1" ht="25.5" customHeight="1">
      <c r="A65" s="5" t="s">
        <v>141</v>
      </c>
      <c r="B65" s="16" t="s">
        <v>103</v>
      </c>
      <c r="C65" s="41"/>
      <c r="D65" s="41"/>
      <c r="E65" s="41"/>
      <c r="F65" s="41"/>
      <c r="G65" s="41"/>
      <c r="H65" s="41"/>
      <c r="I65" s="41"/>
      <c r="J65" s="41"/>
      <c r="K65" s="41"/>
      <c r="L65" s="41"/>
      <c r="M65" s="41"/>
      <c r="N65" s="41"/>
      <c r="O65" s="41"/>
      <c r="P65" s="13" t="s">
        <v>93</v>
      </c>
    </row>
    <row r="66" spans="1:16" s="14" customFormat="1" ht="25.5" customHeight="1">
      <c r="A66" s="40" t="s">
        <v>108</v>
      </c>
      <c r="B66" s="12" t="s">
        <v>111</v>
      </c>
      <c r="C66" s="43"/>
      <c r="D66" s="43"/>
      <c r="E66" s="43"/>
      <c r="F66" s="43"/>
      <c r="G66" s="43"/>
      <c r="H66" s="43"/>
      <c r="I66" s="43"/>
      <c r="J66" s="43"/>
      <c r="K66" s="43"/>
      <c r="L66" s="43"/>
      <c r="M66" s="43"/>
      <c r="N66" s="43"/>
      <c r="O66" s="43"/>
      <c r="P66" s="13" t="s">
        <v>93</v>
      </c>
    </row>
    <row r="67" spans="1:16" s="14" customFormat="1" ht="25.5" customHeight="1">
      <c r="A67" s="3" t="s">
        <v>153</v>
      </c>
      <c r="B67" s="16" t="s">
        <v>103</v>
      </c>
      <c r="C67" s="41"/>
      <c r="D67" s="41"/>
      <c r="E67" s="41"/>
      <c r="F67" s="41"/>
      <c r="G67" s="41"/>
      <c r="H67" s="41"/>
      <c r="I67" s="41"/>
      <c r="J67" s="41"/>
      <c r="K67" s="41"/>
      <c r="L67" s="41"/>
      <c r="M67" s="41"/>
      <c r="N67" s="41"/>
      <c r="O67" s="41"/>
      <c r="P67" s="13" t="s">
        <v>93</v>
      </c>
    </row>
    <row r="68" spans="1:16" s="14" customFormat="1" ht="25.5" customHeight="1">
      <c r="A68" s="3" t="s">
        <v>154</v>
      </c>
      <c r="B68" s="16" t="s">
        <v>103</v>
      </c>
      <c r="C68" s="41"/>
      <c r="D68" s="41"/>
      <c r="E68" s="41"/>
      <c r="F68" s="41"/>
      <c r="G68" s="41"/>
      <c r="H68" s="41"/>
      <c r="I68" s="41"/>
      <c r="J68" s="41"/>
      <c r="K68" s="41"/>
      <c r="L68" s="41"/>
      <c r="M68" s="41"/>
      <c r="N68" s="41"/>
      <c r="O68" s="41"/>
      <c r="P68" s="13" t="s">
        <v>93</v>
      </c>
    </row>
    <row r="69" spans="1:16" s="14" customFormat="1" ht="25.5" customHeight="1">
      <c r="A69" s="40" t="s">
        <v>110</v>
      </c>
      <c r="B69" s="12" t="s">
        <v>111</v>
      </c>
      <c r="C69" s="43"/>
      <c r="D69" s="43"/>
      <c r="E69" s="43"/>
      <c r="F69" s="43"/>
      <c r="G69" s="43"/>
      <c r="H69" s="43"/>
      <c r="I69" s="43"/>
      <c r="J69" s="43"/>
      <c r="K69" s="43"/>
      <c r="L69" s="43"/>
      <c r="M69" s="43"/>
      <c r="N69" s="43"/>
      <c r="O69" s="43"/>
      <c r="P69" s="13" t="s">
        <v>93</v>
      </c>
    </row>
    <row r="70" spans="1:16" s="14" customFormat="1" ht="25.5" customHeight="1">
      <c r="A70" s="7" t="s">
        <v>144</v>
      </c>
      <c r="B70" s="16" t="s">
        <v>103</v>
      </c>
      <c r="C70" s="41"/>
      <c r="D70" s="41"/>
      <c r="E70" s="41"/>
      <c r="F70" s="41"/>
      <c r="G70" s="41"/>
      <c r="H70" s="41"/>
      <c r="I70" s="41"/>
      <c r="J70" s="41"/>
      <c r="K70" s="41"/>
      <c r="L70" s="41"/>
      <c r="M70" s="41"/>
      <c r="N70" s="41"/>
      <c r="O70" s="41"/>
      <c r="P70" s="13" t="s">
        <v>93</v>
      </c>
    </row>
    <row r="71" spans="1:16" s="14" customFormat="1" ht="25.5" customHeight="1">
      <c r="A71" s="7" t="s">
        <v>144</v>
      </c>
      <c r="B71" s="16" t="s">
        <v>103</v>
      </c>
      <c r="C71" s="20"/>
      <c r="D71" s="20"/>
      <c r="E71" s="20"/>
      <c r="F71" s="20"/>
      <c r="G71" s="20"/>
      <c r="H71" s="20"/>
      <c r="I71" s="20"/>
      <c r="J71" s="20"/>
      <c r="K71" s="20"/>
      <c r="L71" s="20"/>
      <c r="M71" s="20"/>
      <c r="N71" s="20"/>
      <c r="O71" s="20"/>
      <c r="P71" s="13" t="s">
        <v>93</v>
      </c>
    </row>
    <row r="72" spans="1:16" s="14" customFormat="1" ht="25.5" customHeight="1">
      <c r="A72" s="7" t="s">
        <v>144</v>
      </c>
      <c r="B72" s="16" t="s">
        <v>103</v>
      </c>
      <c r="C72" s="41"/>
      <c r="D72" s="41"/>
      <c r="E72" s="41"/>
      <c r="F72" s="41"/>
      <c r="G72" s="41"/>
      <c r="H72" s="41"/>
      <c r="I72" s="41"/>
      <c r="J72" s="41"/>
      <c r="K72" s="41"/>
      <c r="L72" s="41"/>
      <c r="M72" s="41"/>
      <c r="N72" s="41"/>
      <c r="O72" s="41"/>
      <c r="P72" s="13" t="s">
        <v>93</v>
      </c>
    </row>
    <row r="73" spans="1:16" s="14" customFormat="1" ht="25.5" customHeight="1">
      <c r="A73" s="40" t="s">
        <v>155</v>
      </c>
      <c r="B73" s="12" t="s">
        <v>111</v>
      </c>
      <c r="C73" s="43"/>
      <c r="D73" s="43"/>
      <c r="E73" s="43"/>
      <c r="F73" s="43"/>
      <c r="G73" s="43"/>
      <c r="H73" s="43"/>
      <c r="I73" s="43"/>
      <c r="J73" s="43"/>
      <c r="K73" s="43"/>
      <c r="L73" s="43"/>
      <c r="M73" s="43"/>
      <c r="N73" s="43"/>
      <c r="O73" s="43"/>
      <c r="P73" s="13" t="s">
        <v>93</v>
      </c>
    </row>
    <row r="74" spans="1:16" s="14" customFormat="1" ht="25.5" customHeight="1">
      <c r="A74" s="7" t="s">
        <v>156</v>
      </c>
      <c r="B74" s="16" t="s">
        <v>103</v>
      </c>
      <c r="C74" s="41"/>
      <c r="D74" s="41"/>
      <c r="E74" s="41"/>
      <c r="F74" s="41"/>
      <c r="G74" s="41"/>
      <c r="H74" s="41"/>
      <c r="I74" s="41"/>
      <c r="J74" s="41"/>
      <c r="K74" s="41"/>
      <c r="L74" s="41"/>
      <c r="M74" s="41"/>
      <c r="N74" s="41"/>
      <c r="O74" s="41"/>
      <c r="P74" s="13" t="s">
        <v>93</v>
      </c>
    </row>
    <row r="75" spans="1:16" s="14" customFormat="1" ht="25.5" customHeight="1">
      <c r="A75" s="8" t="s">
        <v>157</v>
      </c>
      <c r="B75" s="16" t="s">
        <v>103</v>
      </c>
      <c r="C75" s="20"/>
      <c r="D75" s="20"/>
      <c r="E75" s="20"/>
      <c r="F75" s="20"/>
      <c r="G75" s="20"/>
      <c r="H75" s="20"/>
      <c r="I75" s="20"/>
      <c r="J75" s="20"/>
      <c r="K75" s="20"/>
      <c r="L75" s="20"/>
      <c r="M75" s="20"/>
      <c r="N75" s="20"/>
      <c r="O75" s="20"/>
      <c r="P75" s="13" t="s">
        <v>93</v>
      </c>
    </row>
    <row r="76" spans="1:16" s="14" customFormat="1" ht="25.5" customHeight="1">
      <c r="A76" s="7" t="s">
        <v>144</v>
      </c>
      <c r="B76" s="16" t="s">
        <v>103</v>
      </c>
      <c r="C76" s="41"/>
      <c r="D76" s="41"/>
      <c r="E76" s="41"/>
      <c r="F76" s="41"/>
      <c r="G76" s="41"/>
      <c r="H76" s="41"/>
      <c r="I76" s="41"/>
      <c r="J76" s="41"/>
      <c r="K76" s="41"/>
      <c r="L76" s="41"/>
      <c r="M76" s="41"/>
      <c r="N76" s="41"/>
      <c r="O76" s="41"/>
      <c r="P76" s="13" t="s">
        <v>93</v>
      </c>
    </row>
    <row r="77" spans="1:16" s="14" customFormat="1" ht="25.5" customHeight="1">
      <c r="A77" s="40" t="s">
        <v>113</v>
      </c>
      <c r="B77" s="12" t="s">
        <v>111</v>
      </c>
      <c r="C77" s="43"/>
      <c r="D77" s="43"/>
      <c r="E77" s="43"/>
      <c r="F77" s="43"/>
      <c r="G77" s="43"/>
      <c r="H77" s="43"/>
      <c r="I77" s="43"/>
      <c r="J77" s="43"/>
      <c r="K77" s="43"/>
      <c r="L77" s="43"/>
      <c r="M77" s="43"/>
      <c r="N77" s="43"/>
      <c r="O77" s="43"/>
      <c r="P77" s="13" t="s">
        <v>93</v>
      </c>
    </row>
    <row r="78" spans="1:16" s="14" customFormat="1" ht="25.5" customHeight="1">
      <c r="A78" s="7" t="s">
        <v>144</v>
      </c>
      <c r="B78" s="16" t="s">
        <v>103</v>
      </c>
      <c r="C78" s="41"/>
      <c r="D78" s="41"/>
      <c r="E78" s="41"/>
      <c r="F78" s="41"/>
      <c r="G78" s="41"/>
      <c r="H78" s="41"/>
      <c r="I78" s="41"/>
      <c r="J78" s="41"/>
      <c r="K78" s="41"/>
      <c r="L78" s="41"/>
      <c r="M78" s="41"/>
      <c r="N78" s="41"/>
      <c r="O78" s="41"/>
      <c r="P78" s="13" t="s">
        <v>93</v>
      </c>
    </row>
    <row r="79" spans="1:16" s="14" customFormat="1" ht="25.5" customHeight="1">
      <c r="A79" s="7" t="s">
        <v>144</v>
      </c>
      <c r="B79" s="16" t="s">
        <v>103</v>
      </c>
      <c r="C79" s="20"/>
      <c r="D79" s="20"/>
      <c r="E79" s="20"/>
      <c r="F79" s="20"/>
      <c r="G79" s="20"/>
      <c r="H79" s="20"/>
      <c r="I79" s="20"/>
      <c r="J79" s="20"/>
      <c r="K79" s="20"/>
      <c r="L79" s="20"/>
      <c r="M79" s="20"/>
      <c r="N79" s="20"/>
      <c r="O79" s="20"/>
      <c r="P79" s="13" t="s">
        <v>93</v>
      </c>
    </row>
    <row r="80" spans="1:16" s="14" customFormat="1" ht="25.5" customHeight="1">
      <c r="A80" s="7" t="s">
        <v>144</v>
      </c>
      <c r="B80" s="16" t="s">
        <v>103</v>
      </c>
      <c r="C80" s="41"/>
      <c r="D80" s="41"/>
      <c r="E80" s="41"/>
      <c r="F80" s="41"/>
      <c r="G80" s="41"/>
      <c r="H80" s="41"/>
      <c r="I80" s="41"/>
      <c r="J80" s="41"/>
      <c r="K80" s="41"/>
      <c r="L80" s="41"/>
      <c r="M80" s="41"/>
      <c r="N80" s="41"/>
      <c r="O80" s="41"/>
      <c r="P80" s="13" t="s">
        <v>93</v>
      </c>
    </row>
    <row r="81" spans="1:16" s="14" customFormat="1" ht="25.5" customHeight="1">
      <c r="A81" s="40" t="s">
        <v>132</v>
      </c>
      <c r="B81" s="12" t="s">
        <v>111</v>
      </c>
      <c r="C81" s="43"/>
      <c r="D81" s="43"/>
      <c r="E81" s="43"/>
      <c r="F81" s="43"/>
      <c r="G81" s="43"/>
      <c r="H81" s="43"/>
      <c r="I81" s="43"/>
      <c r="J81" s="43"/>
      <c r="K81" s="43"/>
      <c r="L81" s="43"/>
      <c r="M81" s="43"/>
      <c r="N81" s="43"/>
      <c r="O81" s="43"/>
      <c r="P81" s="13" t="s">
        <v>93</v>
      </c>
    </row>
    <row r="82" spans="1:16" s="14" customFormat="1" ht="25.5" customHeight="1">
      <c r="A82" s="7" t="s">
        <v>144</v>
      </c>
      <c r="B82" s="16" t="s">
        <v>103</v>
      </c>
      <c r="C82" s="41"/>
      <c r="D82" s="41"/>
      <c r="E82" s="41"/>
      <c r="F82" s="41"/>
      <c r="G82" s="41"/>
      <c r="H82" s="41"/>
      <c r="I82" s="41"/>
      <c r="J82" s="41"/>
      <c r="K82" s="41"/>
      <c r="L82" s="41"/>
      <c r="M82" s="41"/>
      <c r="N82" s="41"/>
      <c r="O82" s="41"/>
      <c r="P82" s="13" t="s">
        <v>93</v>
      </c>
    </row>
    <row r="83" spans="1:16" s="14" customFormat="1" ht="25.5" customHeight="1">
      <c r="A83" s="7" t="s">
        <v>144</v>
      </c>
      <c r="B83" s="16" t="s">
        <v>103</v>
      </c>
      <c r="C83" s="20"/>
      <c r="D83" s="20"/>
      <c r="E83" s="20"/>
      <c r="F83" s="20"/>
      <c r="G83" s="20"/>
      <c r="H83" s="20"/>
      <c r="I83" s="20"/>
      <c r="J83" s="20"/>
      <c r="K83" s="20"/>
      <c r="L83" s="20"/>
      <c r="M83" s="20"/>
      <c r="N83" s="20"/>
      <c r="O83" s="20"/>
      <c r="P83" s="13" t="s">
        <v>93</v>
      </c>
    </row>
    <row r="84" spans="1:16" s="14" customFormat="1" ht="25.5" customHeight="1">
      <c r="A84" s="7" t="s">
        <v>144</v>
      </c>
      <c r="B84" s="16" t="s">
        <v>103</v>
      </c>
      <c r="C84" s="41"/>
      <c r="D84" s="41"/>
      <c r="E84" s="41"/>
      <c r="F84" s="41"/>
      <c r="G84" s="41"/>
      <c r="H84" s="41"/>
      <c r="I84" s="41"/>
      <c r="J84" s="41"/>
      <c r="K84" s="41"/>
      <c r="L84" s="41"/>
      <c r="M84" s="41"/>
      <c r="N84" s="41"/>
      <c r="O84" s="41"/>
      <c r="P84" s="13" t="s">
        <v>93</v>
      </c>
    </row>
    <row r="85" spans="1:16" s="14" customFormat="1" ht="25.5" customHeight="1">
      <c r="A85" s="40" t="s">
        <v>123</v>
      </c>
      <c r="B85" s="12" t="s">
        <v>111</v>
      </c>
      <c r="C85" s="43"/>
      <c r="D85" s="43"/>
      <c r="E85" s="43"/>
      <c r="F85" s="43"/>
      <c r="G85" s="43"/>
      <c r="H85" s="43"/>
      <c r="I85" s="43"/>
      <c r="J85" s="43"/>
      <c r="K85" s="43"/>
      <c r="L85" s="43"/>
      <c r="M85" s="43"/>
      <c r="N85" s="43"/>
      <c r="O85" s="43"/>
      <c r="P85" s="13" t="s">
        <v>93</v>
      </c>
    </row>
    <row r="86" spans="1:16" s="14" customFormat="1" ht="25.5" customHeight="1">
      <c r="A86" s="7" t="s">
        <v>144</v>
      </c>
      <c r="B86" s="16" t="s">
        <v>103</v>
      </c>
      <c r="C86" s="41"/>
      <c r="D86" s="41"/>
      <c r="E86" s="41"/>
      <c r="F86" s="41"/>
      <c r="G86" s="41"/>
      <c r="H86" s="41"/>
      <c r="I86" s="41"/>
      <c r="J86" s="41"/>
      <c r="K86" s="41"/>
      <c r="L86" s="41"/>
      <c r="M86" s="41"/>
      <c r="N86" s="41"/>
      <c r="O86" s="41"/>
      <c r="P86" s="13" t="s">
        <v>93</v>
      </c>
    </row>
    <row r="87" spans="1:16" s="14" customFormat="1" ht="25.5" customHeight="1">
      <c r="A87" s="7" t="s">
        <v>144</v>
      </c>
      <c r="B87" s="16" t="s">
        <v>103</v>
      </c>
      <c r="C87" s="20"/>
      <c r="D87" s="20"/>
      <c r="E87" s="20"/>
      <c r="F87" s="20"/>
      <c r="G87" s="20"/>
      <c r="H87" s="20"/>
      <c r="I87" s="20"/>
      <c r="J87" s="20"/>
      <c r="K87" s="20"/>
      <c r="L87" s="20"/>
      <c r="M87" s="20"/>
      <c r="N87" s="20"/>
      <c r="O87" s="20"/>
      <c r="P87" s="13" t="s">
        <v>93</v>
      </c>
    </row>
    <row r="88" spans="1:16" s="14" customFormat="1" ht="25.5" customHeight="1">
      <c r="A88" s="7" t="s">
        <v>144</v>
      </c>
      <c r="B88" s="16" t="s">
        <v>103</v>
      </c>
      <c r="C88" s="41"/>
      <c r="D88" s="41"/>
      <c r="E88" s="41"/>
      <c r="F88" s="41"/>
      <c r="G88" s="41"/>
      <c r="H88" s="41"/>
      <c r="I88" s="41"/>
      <c r="J88" s="41"/>
      <c r="K88" s="41"/>
      <c r="L88" s="41"/>
      <c r="M88" s="41"/>
      <c r="N88" s="41"/>
      <c r="O88" s="41"/>
      <c r="P88" s="13" t="s">
        <v>93</v>
      </c>
    </row>
    <row r="89" spans="1:16" s="14" customFormat="1" ht="25.5" customHeight="1">
      <c r="A89" s="40" t="s">
        <v>125</v>
      </c>
      <c r="B89" s="12" t="s">
        <v>111</v>
      </c>
      <c r="C89" s="43"/>
      <c r="D89" s="43"/>
      <c r="E89" s="43"/>
      <c r="F89" s="43"/>
      <c r="G89" s="43"/>
      <c r="H89" s="43"/>
      <c r="I89" s="43"/>
      <c r="J89" s="43"/>
      <c r="K89" s="43"/>
      <c r="L89" s="43"/>
      <c r="M89" s="43"/>
      <c r="N89" s="43"/>
      <c r="O89" s="43"/>
      <c r="P89" s="13" t="s">
        <v>93</v>
      </c>
    </row>
    <row r="90" spans="1:16" s="14" customFormat="1" ht="25.5" customHeight="1">
      <c r="A90" s="7" t="s">
        <v>144</v>
      </c>
      <c r="B90" s="16" t="s">
        <v>103</v>
      </c>
      <c r="C90" s="41"/>
      <c r="D90" s="41"/>
      <c r="E90" s="41"/>
      <c r="F90" s="41"/>
      <c r="G90" s="41"/>
      <c r="H90" s="41"/>
      <c r="I90" s="41"/>
      <c r="J90" s="41"/>
      <c r="K90" s="41"/>
      <c r="L90" s="41"/>
      <c r="M90" s="41"/>
      <c r="N90" s="41"/>
      <c r="O90" s="41"/>
      <c r="P90" s="13" t="s">
        <v>93</v>
      </c>
    </row>
    <row r="91" spans="1:16" s="14" customFormat="1" ht="25.5" customHeight="1">
      <c r="A91" s="7" t="s">
        <v>144</v>
      </c>
      <c r="B91" s="16" t="s">
        <v>103</v>
      </c>
      <c r="C91" s="20"/>
      <c r="D91" s="20"/>
      <c r="E91" s="20"/>
      <c r="F91" s="20"/>
      <c r="G91" s="20"/>
      <c r="H91" s="20"/>
      <c r="I91" s="20"/>
      <c r="J91" s="20"/>
      <c r="K91" s="20"/>
      <c r="L91" s="20"/>
      <c r="M91" s="20"/>
      <c r="N91" s="20"/>
      <c r="O91" s="20"/>
      <c r="P91" s="13" t="s">
        <v>93</v>
      </c>
    </row>
    <row r="92" spans="1:16" s="14" customFormat="1" ht="25.5" customHeight="1">
      <c r="A92" s="7" t="s">
        <v>144</v>
      </c>
      <c r="B92" s="16" t="s">
        <v>103</v>
      </c>
      <c r="C92" s="41"/>
      <c r="D92" s="41"/>
      <c r="E92" s="41"/>
      <c r="F92" s="41"/>
      <c r="G92" s="41"/>
      <c r="H92" s="41"/>
      <c r="I92" s="41"/>
      <c r="J92" s="41"/>
      <c r="K92" s="41"/>
      <c r="L92" s="41"/>
      <c r="M92" s="41"/>
      <c r="N92" s="41"/>
      <c r="O92" s="41"/>
      <c r="P92" s="13" t="s">
        <v>93</v>
      </c>
    </row>
    <row r="93" spans="1:16" s="14" customFormat="1" ht="25.5" customHeight="1">
      <c r="A93" s="40" t="s">
        <v>158</v>
      </c>
      <c r="B93" s="12" t="s">
        <v>111</v>
      </c>
      <c r="C93" s="43"/>
      <c r="D93" s="43"/>
      <c r="E93" s="43"/>
      <c r="F93" s="43"/>
      <c r="G93" s="43"/>
      <c r="H93" s="43"/>
      <c r="I93" s="43"/>
      <c r="J93" s="43"/>
      <c r="K93" s="43"/>
      <c r="L93" s="43"/>
      <c r="M93" s="43"/>
      <c r="N93" s="43"/>
      <c r="O93" s="43"/>
      <c r="P93" s="13" t="s">
        <v>93</v>
      </c>
    </row>
    <row r="94" spans="1:16" s="14" customFormat="1" ht="25.5" customHeight="1">
      <c r="A94" s="7" t="s">
        <v>144</v>
      </c>
      <c r="B94" s="16" t="s">
        <v>103</v>
      </c>
      <c r="C94" s="41"/>
      <c r="D94" s="41"/>
      <c r="E94" s="41"/>
      <c r="F94" s="41"/>
      <c r="G94" s="41"/>
      <c r="H94" s="41"/>
      <c r="I94" s="41"/>
      <c r="J94" s="41"/>
      <c r="K94" s="41"/>
      <c r="L94" s="41"/>
      <c r="M94" s="41"/>
      <c r="N94" s="41"/>
      <c r="O94" s="41"/>
      <c r="P94" s="13" t="s">
        <v>93</v>
      </c>
    </row>
    <row r="95" spans="1:16" s="14" customFormat="1" ht="25.5" customHeight="1">
      <c r="A95" s="7" t="s">
        <v>144</v>
      </c>
      <c r="B95" s="16" t="s">
        <v>103</v>
      </c>
      <c r="C95" s="20"/>
      <c r="D95" s="20"/>
      <c r="E95" s="20"/>
      <c r="F95" s="20"/>
      <c r="G95" s="20"/>
      <c r="H95" s="20"/>
      <c r="I95" s="20"/>
      <c r="J95" s="20"/>
      <c r="K95" s="20"/>
      <c r="L95" s="20"/>
      <c r="M95" s="20"/>
      <c r="N95" s="20"/>
      <c r="O95" s="20"/>
      <c r="P95" s="13" t="s">
        <v>93</v>
      </c>
    </row>
    <row r="96" spans="1:16" s="14" customFormat="1" ht="25.5" customHeight="1">
      <c r="A96" s="7" t="s">
        <v>144</v>
      </c>
      <c r="B96" s="16" t="s">
        <v>103</v>
      </c>
      <c r="C96" s="41"/>
      <c r="D96" s="41"/>
      <c r="E96" s="41"/>
      <c r="F96" s="41"/>
      <c r="G96" s="41"/>
      <c r="H96" s="41"/>
      <c r="I96" s="41"/>
      <c r="J96" s="41"/>
      <c r="K96" s="41"/>
      <c r="L96" s="41"/>
      <c r="M96" s="41"/>
      <c r="N96" s="41"/>
      <c r="O96" s="41"/>
      <c r="P96" s="13" t="s">
        <v>93</v>
      </c>
    </row>
    <row r="97" spans="1:16" s="14" customFormat="1" ht="25.5" customHeight="1">
      <c r="A97" s="40" t="s">
        <v>159</v>
      </c>
      <c r="B97" s="12" t="s">
        <v>111</v>
      </c>
      <c r="C97" s="43"/>
      <c r="D97" s="43"/>
      <c r="E97" s="43"/>
      <c r="F97" s="43"/>
      <c r="G97" s="43"/>
      <c r="H97" s="43"/>
      <c r="I97" s="43"/>
      <c r="J97" s="43"/>
      <c r="K97" s="43"/>
      <c r="L97" s="43"/>
      <c r="M97" s="43"/>
      <c r="N97" s="43"/>
      <c r="O97" s="43"/>
      <c r="P97" s="13" t="s">
        <v>93</v>
      </c>
    </row>
    <row r="98" spans="1:16" s="14" customFormat="1" ht="25.5" customHeight="1">
      <c r="A98" s="7" t="s">
        <v>144</v>
      </c>
      <c r="B98" s="16" t="s">
        <v>103</v>
      </c>
      <c r="C98" s="41"/>
      <c r="D98" s="41"/>
      <c r="E98" s="41"/>
      <c r="F98" s="41"/>
      <c r="G98" s="41"/>
      <c r="H98" s="41"/>
      <c r="I98" s="41"/>
      <c r="J98" s="41"/>
      <c r="K98" s="41"/>
      <c r="L98" s="41"/>
      <c r="M98" s="41"/>
      <c r="N98" s="41"/>
      <c r="O98" s="41"/>
      <c r="P98" s="13" t="s">
        <v>93</v>
      </c>
    </row>
    <row r="99" spans="1:16" s="14" customFormat="1" ht="25.5" customHeight="1">
      <c r="A99" s="7" t="s">
        <v>144</v>
      </c>
      <c r="B99" s="16" t="s">
        <v>103</v>
      </c>
      <c r="C99" s="20"/>
      <c r="D99" s="20"/>
      <c r="E99" s="20"/>
      <c r="F99" s="20"/>
      <c r="G99" s="20"/>
      <c r="H99" s="20"/>
      <c r="I99" s="20"/>
      <c r="J99" s="20"/>
      <c r="K99" s="20"/>
      <c r="L99" s="20"/>
      <c r="M99" s="20"/>
      <c r="N99" s="20"/>
      <c r="O99" s="20"/>
      <c r="P99" s="13" t="s">
        <v>93</v>
      </c>
    </row>
    <row r="100" spans="1:16" s="14" customFormat="1" ht="25.5" customHeight="1">
      <c r="A100" s="7" t="s">
        <v>144</v>
      </c>
      <c r="B100" s="44" t="s">
        <v>103</v>
      </c>
      <c r="C100" s="20"/>
      <c r="D100" s="20"/>
      <c r="E100" s="20"/>
      <c r="F100" s="20"/>
      <c r="G100" s="20"/>
      <c r="H100" s="20"/>
      <c r="I100" s="20"/>
      <c r="J100" s="20"/>
      <c r="K100" s="20"/>
      <c r="L100" s="20"/>
      <c r="M100" s="20"/>
      <c r="N100" s="20"/>
      <c r="O100" s="20"/>
      <c r="P100" s="13" t="s">
        <v>93</v>
      </c>
    </row>
    <row r="101" spans="1:16" s="14" customFormat="1">
      <c r="A101" s="15"/>
      <c r="B101" s="15"/>
      <c r="C101" s="45"/>
      <c r="D101" s="45"/>
      <c r="E101" s="45"/>
      <c r="F101" s="45"/>
      <c r="G101" s="45"/>
      <c r="H101" s="45"/>
      <c r="I101" s="45"/>
      <c r="J101" s="45"/>
      <c r="K101" s="45"/>
      <c r="L101" s="45"/>
      <c r="M101" s="45"/>
      <c r="N101" s="45"/>
      <c r="O101" s="45"/>
      <c r="P101" s="13"/>
    </row>
    <row r="102" spans="1:16" s="14" customFormat="1">
      <c r="A102" s="15"/>
      <c r="B102" s="15"/>
      <c r="C102" s="45"/>
      <c r="D102" s="45"/>
      <c r="E102" s="45"/>
      <c r="F102" s="45"/>
      <c r="G102" s="45"/>
      <c r="H102" s="45"/>
      <c r="I102" s="45"/>
      <c r="J102" s="45"/>
      <c r="K102" s="45"/>
      <c r="L102" s="45"/>
      <c r="M102" s="45"/>
      <c r="N102" s="45"/>
      <c r="O102" s="45"/>
      <c r="P102" s="13"/>
    </row>
    <row r="103" spans="1:16" s="14" customFormat="1">
      <c r="A103" s="15"/>
      <c r="B103" s="15"/>
      <c r="C103" s="45"/>
      <c r="D103" s="45"/>
      <c r="E103" s="45"/>
      <c r="F103" s="45"/>
      <c r="G103" s="45"/>
      <c r="H103" s="45"/>
      <c r="I103" s="45"/>
      <c r="J103" s="45"/>
      <c r="K103" s="45"/>
      <c r="L103" s="45"/>
      <c r="M103" s="45"/>
      <c r="N103" s="45"/>
      <c r="O103" s="45"/>
      <c r="P103" s="13"/>
    </row>
    <row r="104" spans="1:16" s="14" customFormat="1">
      <c r="A104" s="15"/>
      <c r="B104" s="15"/>
      <c r="C104" s="45"/>
      <c r="D104" s="45"/>
      <c r="E104" s="45"/>
      <c r="F104" s="45"/>
      <c r="G104" s="45"/>
      <c r="H104" s="45"/>
      <c r="I104" s="45"/>
      <c r="J104" s="45"/>
      <c r="K104" s="45"/>
      <c r="L104" s="45"/>
      <c r="M104" s="45"/>
      <c r="N104" s="45"/>
      <c r="O104" s="45"/>
      <c r="P104" s="13"/>
    </row>
    <row r="105" spans="1:16" s="14" customFormat="1">
      <c r="A105" s="15"/>
      <c r="B105" s="15"/>
      <c r="C105" s="46"/>
      <c r="D105" s="46"/>
      <c r="E105" s="46"/>
      <c r="F105" s="46"/>
      <c r="G105" s="46"/>
      <c r="H105" s="46"/>
      <c r="I105" s="46"/>
      <c r="J105" s="46"/>
      <c r="K105" s="46"/>
      <c r="L105" s="46"/>
      <c r="M105" s="46"/>
      <c r="N105" s="46"/>
      <c r="O105" s="46"/>
      <c r="P105" s="13"/>
    </row>
    <row r="106" spans="1:16" s="14" customFormat="1">
      <c r="A106" s="15"/>
      <c r="B106" s="15"/>
      <c r="C106" s="46"/>
      <c r="D106" s="46"/>
      <c r="E106" s="46"/>
      <c r="F106" s="46"/>
      <c r="G106" s="46"/>
      <c r="H106" s="46"/>
      <c r="I106" s="46"/>
      <c r="J106" s="46"/>
      <c r="K106" s="46"/>
      <c r="L106" s="46"/>
      <c r="M106" s="46"/>
      <c r="N106" s="46"/>
      <c r="O106" s="46"/>
      <c r="P106" s="13"/>
    </row>
    <row r="107" spans="1:16" s="14" customFormat="1">
      <c r="A107" s="15"/>
      <c r="B107" s="15"/>
      <c r="C107" s="46"/>
      <c r="D107" s="46"/>
      <c r="E107" s="46"/>
      <c r="F107" s="46"/>
      <c r="G107" s="46"/>
      <c r="H107" s="46"/>
      <c r="I107" s="46"/>
      <c r="J107" s="46"/>
      <c r="K107" s="46"/>
      <c r="L107" s="46"/>
      <c r="M107" s="46"/>
      <c r="N107" s="46"/>
      <c r="O107" s="46"/>
      <c r="P107" s="13"/>
    </row>
    <row r="108" spans="1:16" s="14" customFormat="1">
      <c r="A108" s="15"/>
      <c r="B108" s="15"/>
      <c r="C108" s="46"/>
      <c r="D108" s="46"/>
      <c r="E108" s="46"/>
      <c r="F108" s="46"/>
      <c r="G108" s="46"/>
      <c r="H108" s="46"/>
      <c r="I108" s="46"/>
      <c r="J108" s="46"/>
      <c r="K108" s="46"/>
      <c r="L108" s="46"/>
      <c r="M108" s="46"/>
      <c r="N108" s="46"/>
      <c r="O108" s="46"/>
      <c r="P108" s="13"/>
    </row>
    <row r="109" spans="1:16" s="14" customFormat="1">
      <c r="A109" s="15"/>
      <c r="B109" s="15"/>
      <c r="C109" s="46"/>
      <c r="D109" s="46"/>
      <c r="E109" s="46"/>
      <c r="F109" s="46"/>
      <c r="G109" s="46"/>
      <c r="H109" s="46"/>
      <c r="I109" s="46"/>
      <c r="J109" s="46"/>
      <c r="K109" s="46"/>
      <c r="L109" s="46"/>
      <c r="M109" s="46"/>
      <c r="N109" s="46"/>
      <c r="O109" s="46"/>
      <c r="P109" s="13"/>
    </row>
    <row r="110" spans="1:16" s="14" customFormat="1">
      <c r="A110" s="15"/>
      <c r="B110" s="15"/>
      <c r="C110" s="46"/>
      <c r="D110" s="46"/>
      <c r="E110" s="46"/>
      <c r="F110" s="46"/>
      <c r="G110" s="46"/>
      <c r="H110" s="46"/>
      <c r="I110" s="46"/>
      <c r="J110" s="46"/>
      <c r="K110" s="46"/>
      <c r="L110" s="46"/>
      <c r="M110" s="46"/>
      <c r="N110" s="46"/>
      <c r="O110" s="46"/>
      <c r="P110" s="13"/>
    </row>
    <row r="111" spans="1:16" s="14" customFormat="1">
      <c r="A111" s="15"/>
      <c r="B111" s="15"/>
      <c r="C111" s="46"/>
      <c r="D111" s="46"/>
      <c r="E111" s="46"/>
      <c r="F111" s="46"/>
      <c r="G111" s="46"/>
      <c r="H111" s="46"/>
      <c r="I111" s="46"/>
      <c r="J111" s="46"/>
      <c r="K111" s="46"/>
      <c r="L111" s="46"/>
      <c r="M111" s="46"/>
      <c r="N111" s="46"/>
      <c r="O111" s="46"/>
      <c r="P111" s="13"/>
    </row>
    <row r="112" spans="1:16" s="14" customFormat="1">
      <c r="A112" s="15"/>
      <c r="B112" s="15"/>
      <c r="C112" s="46"/>
      <c r="D112" s="46"/>
      <c r="E112" s="46"/>
      <c r="F112" s="46"/>
      <c r="G112" s="46"/>
      <c r="H112" s="46"/>
      <c r="I112" s="46"/>
      <c r="J112" s="46"/>
      <c r="K112" s="46"/>
      <c r="L112" s="46"/>
      <c r="M112" s="46"/>
      <c r="N112" s="46"/>
      <c r="O112" s="46"/>
      <c r="P112" s="13"/>
    </row>
    <row r="113" spans="1:16" s="14" customFormat="1">
      <c r="A113" s="15"/>
      <c r="B113" s="15"/>
      <c r="C113" s="46"/>
      <c r="D113" s="46"/>
      <c r="E113" s="46"/>
      <c r="F113" s="46"/>
      <c r="G113" s="46"/>
      <c r="H113" s="46"/>
      <c r="I113" s="46"/>
      <c r="J113" s="46"/>
      <c r="K113" s="46"/>
      <c r="L113" s="46"/>
      <c r="M113" s="46"/>
      <c r="N113" s="46"/>
      <c r="O113" s="46"/>
      <c r="P113" s="13"/>
    </row>
    <row r="114" spans="1:16" s="14" customFormat="1">
      <c r="A114" s="15"/>
      <c r="B114" s="15"/>
      <c r="C114" s="46"/>
      <c r="D114" s="46"/>
      <c r="E114" s="46"/>
      <c r="F114" s="46"/>
      <c r="G114" s="46"/>
      <c r="H114" s="46"/>
      <c r="I114" s="46"/>
      <c r="J114" s="46"/>
      <c r="K114" s="46"/>
      <c r="L114" s="46"/>
      <c r="M114" s="46"/>
      <c r="N114" s="46"/>
      <c r="O114" s="46"/>
      <c r="P114" s="13"/>
    </row>
    <row r="115" spans="1:16" s="14" customFormat="1">
      <c r="A115" s="15"/>
      <c r="B115" s="15"/>
      <c r="C115" s="46"/>
      <c r="D115" s="46"/>
      <c r="E115" s="46"/>
      <c r="F115" s="46"/>
      <c r="G115" s="46"/>
      <c r="H115" s="46"/>
      <c r="I115" s="46"/>
      <c r="J115" s="46"/>
      <c r="K115" s="46"/>
      <c r="L115" s="46"/>
      <c r="M115" s="46"/>
      <c r="N115" s="46"/>
      <c r="O115" s="46"/>
      <c r="P115" s="13"/>
    </row>
    <row r="116" spans="1:16" s="14" customFormat="1">
      <c r="A116" s="15"/>
      <c r="B116" s="15"/>
      <c r="C116" s="46"/>
      <c r="D116" s="46"/>
      <c r="E116" s="46"/>
      <c r="F116" s="46"/>
      <c r="G116" s="46"/>
      <c r="H116" s="46"/>
      <c r="I116" s="46"/>
      <c r="J116" s="46"/>
      <c r="K116" s="46"/>
      <c r="L116" s="46"/>
      <c r="M116" s="46"/>
      <c r="N116" s="46"/>
      <c r="O116" s="46"/>
      <c r="P116" s="13"/>
    </row>
    <row r="117" spans="1:16" s="14" customFormat="1">
      <c r="A117" s="15"/>
      <c r="B117" s="15"/>
      <c r="C117" s="46"/>
      <c r="D117" s="46"/>
      <c r="E117" s="46"/>
      <c r="F117" s="46"/>
      <c r="G117" s="46"/>
      <c r="H117" s="46"/>
      <c r="I117" s="46"/>
      <c r="J117" s="46"/>
      <c r="K117" s="46"/>
      <c r="L117" s="46"/>
      <c r="M117" s="46"/>
      <c r="N117" s="46"/>
      <c r="O117" s="46"/>
      <c r="P117" s="13"/>
    </row>
    <row r="118" spans="1:16" s="14" customFormat="1">
      <c r="A118" s="15"/>
      <c r="B118" s="15"/>
      <c r="C118" s="46"/>
      <c r="D118" s="46"/>
      <c r="E118" s="46"/>
      <c r="F118" s="46"/>
      <c r="G118" s="46"/>
      <c r="H118" s="46"/>
      <c r="I118" s="46"/>
      <c r="J118" s="46"/>
      <c r="K118" s="46"/>
      <c r="L118" s="46"/>
      <c r="M118" s="46"/>
      <c r="N118" s="46"/>
      <c r="O118" s="46"/>
      <c r="P118" s="13"/>
    </row>
    <row r="119" spans="1:16" s="14" customFormat="1">
      <c r="A119" s="15"/>
      <c r="B119" s="15"/>
      <c r="C119" s="46"/>
      <c r="D119" s="46"/>
      <c r="E119" s="46"/>
      <c r="F119" s="46"/>
      <c r="G119" s="46"/>
      <c r="H119" s="46"/>
      <c r="I119" s="46"/>
      <c r="J119" s="46"/>
      <c r="K119" s="46"/>
      <c r="L119" s="46"/>
      <c r="M119" s="46"/>
      <c r="N119" s="46"/>
      <c r="O119" s="46"/>
      <c r="P119" s="13"/>
    </row>
    <row r="120" spans="1:16" s="14" customFormat="1">
      <c r="A120" s="15"/>
      <c r="B120" s="15"/>
      <c r="C120" s="46"/>
      <c r="D120" s="46"/>
      <c r="E120" s="46"/>
      <c r="F120" s="46"/>
      <c r="G120" s="46"/>
      <c r="H120" s="46"/>
      <c r="I120" s="46"/>
      <c r="J120" s="46"/>
      <c r="K120" s="46"/>
      <c r="L120" s="46"/>
      <c r="M120" s="46"/>
      <c r="N120" s="46"/>
      <c r="O120" s="46"/>
      <c r="P120" s="13"/>
    </row>
    <row r="121" spans="1:16" s="14" customFormat="1">
      <c r="A121" s="15"/>
      <c r="B121" s="15"/>
      <c r="C121" s="46"/>
      <c r="D121" s="46"/>
      <c r="E121" s="46"/>
      <c r="F121" s="46"/>
      <c r="G121" s="46"/>
      <c r="H121" s="46"/>
      <c r="I121" s="46"/>
      <c r="J121" s="46"/>
      <c r="K121" s="46"/>
      <c r="L121" s="46"/>
      <c r="M121" s="46"/>
      <c r="N121" s="46"/>
      <c r="O121" s="46"/>
      <c r="P121" s="13"/>
    </row>
    <row r="122" spans="1:16" s="14" customFormat="1">
      <c r="A122" s="15"/>
      <c r="B122" s="15"/>
      <c r="C122" s="46"/>
      <c r="D122" s="46"/>
      <c r="E122" s="46"/>
      <c r="F122" s="46"/>
      <c r="G122" s="46"/>
      <c r="H122" s="46"/>
      <c r="I122" s="46"/>
      <c r="J122" s="46"/>
      <c r="K122" s="46"/>
      <c r="L122" s="46"/>
      <c r="M122" s="46"/>
      <c r="N122" s="46"/>
      <c r="O122" s="46"/>
      <c r="P122" s="13"/>
    </row>
    <row r="123" spans="1:16" s="14" customFormat="1">
      <c r="A123" s="15"/>
      <c r="B123" s="15"/>
      <c r="C123" s="46"/>
      <c r="D123" s="46"/>
      <c r="E123" s="46"/>
      <c r="F123" s="46"/>
      <c r="G123" s="46"/>
      <c r="H123" s="46"/>
      <c r="I123" s="46"/>
      <c r="J123" s="46"/>
      <c r="K123" s="46"/>
      <c r="L123" s="46"/>
      <c r="M123" s="46"/>
      <c r="N123" s="46"/>
      <c r="O123" s="46"/>
      <c r="P123" s="13"/>
    </row>
    <row r="124" spans="1:16" s="14" customFormat="1">
      <c r="A124" s="15"/>
      <c r="B124" s="15"/>
      <c r="C124" s="46"/>
      <c r="D124" s="46"/>
      <c r="E124" s="46"/>
      <c r="F124" s="46"/>
      <c r="G124" s="46"/>
      <c r="H124" s="46"/>
      <c r="I124" s="46"/>
      <c r="J124" s="46"/>
      <c r="K124" s="46"/>
      <c r="L124" s="46"/>
      <c r="M124" s="46"/>
      <c r="N124" s="46"/>
      <c r="O124" s="46"/>
      <c r="P124" s="13"/>
    </row>
    <row r="125" spans="1:16" s="14" customFormat="1">
      <c r="A125" s="15"/>
      <c r="B125" s="15"/>
      <c r="C125" s="46"/>
      <c r="D125" s="46"/>
      <c r="E125" s="46"/>
      <c r="F125" s="46"/>
      <c r="G125" s="46"/>
      <c r="H125" s="46"/>
      <c r="I125" s="46"/>
      <c r="J125" s="46"/>
      <c r="K125" s="46"/>
      <c r="L125" s="46"/>
      <c r="M125" s="46"/>
      <c r="N125" s="46"/>
      <c r="O125" s="46"/>
      <c r="P125" s="13"/>
    </row>
    <row r="126" spans="1:16" s="14" customFormat="1">
      <c r="A126" s="15"/>
      <c r="B126" s="15"/>
      <c r="C126" s="46"/>
      <c r="D126" s="46"/>
      <c r="E126" s="46"/>
      <c r="F126" s="46"/>
      <c r="G126" s="46"/>
      <c r="H126" s="46"/>
      <c r="I126" s="46"/>
      <c r="J126" s="46"/>
      <c r="K126" s="46"/>
      <c r="L126" s="46"/>
      <c r="M126" s="46"/>
      <c r="N126" s="46"/>
      <c r="O126" s="46"/>
      <c r="P126" s="13"/>
    </row>
    <row r="127" spans="1:16" s="14" customFormat="1">
      <c r="A127" s="15"/>
      <c r="B127" s="15"/>
      <c r="C127" s="46"/>
      <c r="D127" s="46"/>
      <c r="E127" s="46"/>
      <c r="F127" s="46"/>
      <c r="G127" s="46"/>
      <c r="H127" s="46"/>
      <c r="I127" s="46"/>
      <c r="J127" s="46"/>
      <c r="K127" s="46"/>
      <c r="L127" s="46"/>
      <c r="M127" s="46"/>
      <c r="N127" s="46"/>
      <c r="O127" s="46"/>
      <c r="P127" s="13"/>
    </row>
    <row r="128" spans="1:16" s="14" customFormat="1">
      <c r="A128" s="15"/>
      <c r="B128" s="15"/>
      <c r="C128" s="46"/>
      <c r="D128" s="46"/>
      <c r="E128" s="46"/>
      <c r="F128" s="46"/>
      <c r="G128" s="46"/>
      <c r="H128" s="46"/>
      <c r="I128" s="46"/>
      <c r="J128" s="46"/>
      <c r="K128" s="46"/>
      <c r="L128" s="46"/>
      <c r="M128" s="46"/>
      <c r="N128" s="46"/>
      <c r="O128" s="46"/>
      <c r="P128" s="13"/>
    </row>
    <row r="129" spans="1:16" s="14" customFormat="1">
      <c r="A129" s="15"/>
      <c r="B129" s="15"/>
      <c r="C129" s="46"/>
      <c r="D129" s="46"/>
      <c r="E129" s="46"/>
      <c r="F129" s="46"/>
      <c r="G129" s="46"/>
      <c r="H129" s="46"/>
      <c r="I129" s="46"/>
      <c r="J129" s="46"/>
      <c r="K129" s="46"/>
      <c r="L129" s="46"/>
      <c r="M129" s="46"/>
      <c r="N129" s="46"/>
      <c r="O129" s="46"/>
      <c r="P129" s="13"/>
    </row>
    <row r="130" spans="1:16" s="14" customFormat="1">
      <c r="A130" s="15"/>
      <c r="B130" s="15"/>
      <c r="C130" s="46"/>
      <c r="D130" s="46"/>
      <c r="E130" s="46"/>
      <c r="F130" s="46"/>
      <c r="G130" s="46"/>
      <c r="H130" s="46"/>
      <c r="I130" s="46"/>
      <c r="J130" s="46"/>
      <c r="K130" s="46"/>
      <c r="L130" s="46"/>
      <c r="M130" s="46"/>
      <c r="N130" s="46"/>
      <c r="O130" s="46"/>
      <c r="P130" s="13"/>
    </row>
    <row r="131" spans="1:16" s="14" customFormat="1">
      <c r="A131" s="15"/>
      <c r="B131" s="15"/>
      <c r="C131" s="46"/>
      <c r="D131" s="46"/>
      <c r="E131" s="46"/>
      <c r="F131" s="46"/>
      <c r="G131" s="46"/>
      <c r="H131" s="46"/>
      <c r="I131" s="46"/>
      <c r="J131" s="46"/>
      <c r="K131" s="46"/>
      <c r="L131" s="46"/>
      <c r="M131" s="46"/>
      <c r="N131" s="46"/>
      <c r="O131" s="46"/>
      <c r="P131" s="13"/>
    </row>
    <row r="132" spans="1:16" s="14" customFormat="1">
      <c r="A132" s="15"/>
      <c r="B132" s="15"/>
      <c r="C132" s="46"/>
      <c r="D132" s="46"/>
      <c r="E132" s="46"/>
      <c r="F132" s="46"/>
      <c r="G132" s="46"/>
      <c r="H132" s="46"/>
      <c r="I132" s="46"/>
      <c r="J132" s="46"/>
      <c r="K132" s="46"/>
      <c r="L132" s="46"/>
      <c r="M132" s="46"/>
      <c r="N132" s="46"/>
      <c r="O132" s="46"/>
      <c r="P132" s="13"/>
    </row>
    <row r="133" spans="1:16" s="14" customFormat="1">
      <c r="A133" s="15"/>
      <c r="B133" s="15"/>
      <c r="C133" s="46"/>
      <c r="D133" s="46"/>
      <c r="E133" s="46"/>
      <c r="F133" s="46"/>
      <c r="G133" s="46"/>
      <c r="H133" s="46"/>
      <c r="I133" s="46"/>
      <c r="J133" s="46"/>
      <c r="K133" s="46"/>
      <c r="L133" s="46"/>
      <c r="M133" s="46"/>
      <c r="N133" s="46"/>
      <c r="O133" s="46"/>
      <c r="P133" s="13"/>
    </row>
    <row r="134" spans="1:16" s="14" customFormat="1">
      <c r="A134" s="15"/>
      <c r="B134" s="15"/>
      <c r="C134" s="46"/>
      <c r="D134" s="46"/>
      <c r="E134" s="46"/>
      <c r="F134" s="46"/>
      <c r="G134" s="46"/>
      <c r="H134" s="46"/>
      <c r="I134" s="46"/>
      <c r="J134" s="46"/>
      <c r="K134" s="46"/>
      <c r="L134" s="46"/>
      <c r="M134" s="46"/>
      <c r="N134" s="46"/>
      <c r="O134" s="46"/>
      <c r="P134" s="13"/>
    </row>
    <row r="135" spans="1:16" s="14" customFormat="1">
      <c r="A135" s="15"/>
      <c r="B135" s="15"/>
      <c r="C135" s="46"/>
      <c r="D135" s="46"/>
      <c r="E135" s="46"/>
      <c r="F135" s="46"/>
      <c r="G135" s="46"/>
      <c r="H135" s="46"/>
      <c r="I135" s="46"/>
      <c r="J135" s="46"/>
      <c r="K135" s="46"/>
      <c r="L135" s="46"/>
      <c r="M135" s="46"/>
      <c r="N135" s="46"/>
      <c r="O135" s="46"/>
      <c r="P135" s="13"/>
    </row>
    <row r="136" spans="1:16" s="14" customFormat="1">
      <c r="A136" s="15"/>
      <c r="B136" s="15"/>
      <c r="C136" s="46"/>
      <c r="D136" s="46"/>
      <c r="E136" s="46"/>
      <c r="F136" s="46"/>
      <c r="G136" s="46"/>
      <c r="H136" s="46"/>
      <c r="I136" s="46"/>
      <c r="J136" s="46"/>
      <c r="K136" s="46"/>
      <c r="L136" s="46"/>
      <c r="M136" s="46"/>
      <c r="N136" s="46"/>
      <c r="O136" s="46"/>
      <c r="P136" s="13"/>
    </row>
    <row r="137" spans="1:16" s="14" customFormat="1">
      <c r="A137" s="15"/>
      <c r="B137" s="15"/>
      <c r="C137" s="46"/>
      <c r="D137" s="46"/>
      <c r="E137" s="46"/>
      <c r="F137" s="46"/>
      <c r="G137" s="46"/>
      <c r="H137" s="46"/>
      <c r="I137" s="46"/>
      <c r="J137" s="46"/>
      <c r="K137" s="46"/>
      <c r="L137" s="46"/>
      <c r="M137" s="46"/>
      <c r="N137" s="46"/>
      <c r="O137" s="46"/>
      <c r="P137" s="13"/>
    </row>
    <row r="138" spans="1:16" s="14" customFormat="1">
      <c r="A138" s="15"/>
      <c r="B138" s="15"/>
      <c r="C138" s="46"/>
      <c r="D138" s="46"/>
      <c r="E138" s="46"/>
      <c r="F138" s="46"/>
      <c r="G138" s="46"/>
      <c r="H138" s="46"/>
      <c r="I138" s="46"/>
      <c r="J138" s="46"/>
      <c r="K138" s="46"/>
      <c r="L138" s="46"/>
      <c r="M138" s="46"/>
      <c r="N138" s="46"/>
      <c r="O138" s="46"/>
      <c r="P138" s="13"/>
    </row>
    <row r="139" spans="1:16" s="14" customFormat="1">
      <c r="A139" s="15"/>
      <c r="B139" s="15"/>
      <c r="C139" s="46"/>
      <c r="D139" s="46"/>
      <c r="E139" s="46"/>
      <c r="F139" s="46"/>
      <c r="G139" s="46"/>
      <c r="H139" s="46"/>
      <c r="I139" s="46"/>
      <c r="J139" s="46"/>
      <c r="K139" s="46"/>
      <c r="L139" s="46"/>
      <c r="M139" s="46"/>
      <c r="N139" s="46"/>
      <c r="O139" s="46"/>
      <c r="P139" s="13"/>
    </row>
    <row r="140" spans="1:16" s="14" customFormat="1">
      <c r="A140" s="15"/>
      <c r="B140" s="15"/>
      <c r="C140" s="46"/>
      <c r="D140" s="46"/>
      <c r="E140" s="46"/>
      <c r="F140" s="46"/>
      <c r="G140" s="46"/>
      <c r="H140" s="46"/>
      <c r="I140" s="46"/>
      <c r="J140" s="46"/>
      <c r="K140" s="46"/>
      <c r="L140" s="46"/>
      <c r="M140" s="46"/>
      <c r="N140" s="46"/>
      <c r="O140" s="46"/>
      <c r="P140" s="13"/>
    </row>
    <row r="141" spans="1:16" s="14" customFormat="1">
      <c r="A141" s="15"/>
      <c r="B141" s="15"/>
      <c r="C141" s="46"/>
      <c r="D141" s="46"/>
      <c r="E141" s="46"/>
      <c r="F141" s="46"/>
      <c r="G141" s="46"/>
      <c r="H141" s="46"/>
      <c r="I141" s="46"/>
      <c r="J141" s="46"/>
      <c r="K141" s="46"/>
      <c r="L141" s="46"/>
      <c r="M141" s="46"/>
      <c r="N141" s="46"/>
      <c r="O141" s="46"/>
      <c r="P141" s="13"/>
    </row>
    <row r="142" spans="1:16" s="14" customFormat="1">
      <c r="A142" s="15"/>
      <c r="B142" s="15"/>
      <c r="C142" s="46"/>
      <c r="D142" s="46"/>
      <c r="E142" s="46"/>
      <c r="F142" s="46"/>
      <c r="G142" s="46"/>
      <c r="H142" s="46"/>
      <c r="I142" s="46"/>
      <c r="J142" s="46"/>
      <c r="K142" s="46"/>
      <c r="L142" s="46"/>
      <c r="M142" s="46"/>
      <c r="N142" s="46"/>
      <c r="O142" s="46"/>
      <c r="P142" s="13"/>
    </row>
    <row r="143" spans="1:16" s="14" customFormat="1">
      <c r="A143" s="15"/>
      <c r="B143" s="15"/>
      <c r="C143" s="46"/>
      <c r="D143" s="46"/>
      <c r="E143" s="46"/>
      <c r="F143" s="46"/>
      <c r="G143" s="46"/>
      <c r="H143" s="46"/>
      <c r="I143" s="46"/>
      <c r="J143" s="46"/>
      <c r="K143" s="46"/>
      <c r="L143" s="46"/>
      <c r="M143" s="46"/>
      <c r="N143" s="46"/>
      <c r="O143" s="46"/>
      <c r="P143" s="13"/>
    </row>
    <row r="144" spans="1:16" s="14" customFormat="1">
      <c r="A144" s="15"/>
      <c r="B144" s="15"/>
      <c r="C144" s="46"/>
      <c r="D144" s="46"/>
      <c r="E144" s="46"/>
      <c r="F144" s="46"/>
      <c r="G144" s="46"/>
      <c r="H144" s="46"/>
      <c r="I144" s="46"/>
      <c r="J144" s="46"/>
      <c r="K144" s="46"/>
      <c r="L144" s="46"/>
      <c r="M144" s="46"/>
      <c r="N144" s="46"/>
      <c r="O144" s="46"/>
      <c r="P144" s="13"/>
    </row>
    <row r="145" spans="1:16" s="14" customFormat="1">
      <c r="A145" s="15"/>
      <c r="B145" s="15"/>
      <c r="C145" s="46"/>
      <c r="D145" s="46"/>
      <c r="E145" s="46"/>
      <c r="F145" s="46"/>
      <c r="G145" s="46"/>
      <c r="H145" s="46"/>
      <c r="I145" s="46"/>
      <c r="J145" s="46"/>
      <c r="K145" s="46"/>
      <c r="L145" s="46"/>
      <c r="M145" s="46"/>
      <c r="N145" s="46"/>
      <c r="O145" s="46"/>
      <c r="P145" s="13"/>
    </row>
    <row r="146" spans="1:16" s="14" customFormat="1">
      <c r="A146" s="15"/>
      <c r="B146" s="15"/>
      <c r="C146" s="46"/>
      <c r="D146" s="46"/>
      <c r="E146" s="46"/>
      <c r="F146" s="46"/>
      <c r="G146" s="46"/>
      <c r="H146" s="46"/>
      <c r="I146" s="46"/>
      <c r="J146" s="46"/>
      <c r="K146" s="46"/>
      <c r="L146" s="46"/>
      <c r="M146" s="46"/>
      <c r="N146" s="46"/>
      <c r="O146" s="46"/>
      <c r="P146" s="13"/>
    </row>
    <row r="147" spans="1:16" s="14" customFormat="1">
      <c r="A147" s="15"/>
      <c r="B147" s="15"/>
      <c r="C147" s="46"/>
      <c r="D147" s="46"/>
      <c r="E147" s="46"/>
      <c r="F147" s="46"/>
      <c r="G147" s="46"/>
      <c r="H147" s="46"/>
      <c r="I147" s="46"/>
      <c r="J147" s="46"/>
      <c r="K147" s="46"/>
      <c r="L147" s="46"/>
      <c r="M147" s="46"/>
      <c r="N147" s="46"/>
      <c r="O147" s="46"/>
      <c r="P147" s="13"/>
    </row>
    <row r="148" spans="1:16" s="14" customFormat="1">
      <c r="A148" s="15"/>
      <c r="B148" s="15"/>
      <c r="C148" s="46"/>
      <c r="D148" s="46"/>
      <c r="E148" s="46"/>
      <c r="F148" s="46"/>
      <c r="G148" s="46"/>
      <c r="H148" s="46"/>
      <c r="I148" s="46"/>
      <c r="J148" s="46"/>
      <c r="K148" s="46"/>
      <c r="L148" s="46"/>
      <c r="M148" s="46"/>
      <c r="N148" s="46"/>
      <c r="O148" s="46"/>
      <c r="P148" s="13"/>
    </row>
    <row r="149" spans="1:16" s="14" customFormat="1">
      <c r="A149" s="15"/>
      <c r="B149" s="15"/>
      <c r="C149" s="46"/>
      <c r="D149" s="46"/>
      <c r="E149" s="46"/>
      <c r="F149" s="46"/>
      <c r="G149" s="46"/>
      <c r="H149" s="46"/>
      <c r="I149" s="46"/>
      <c r="J149" s="46"/>
      <c r="K149" s="46"/>
      <c r="L149" s="46"/>
      <c r="M149" s="46"/>
      <c r="N149" s="46"/>
      <c r="O149" s="46"/>
      <c r="P149" s="13"/>
    </row>
    <row r="150" spans="1:16" s="14" customFormat="1">
      <c r="A150" s="15"/>
      <c r="B150" s="15"/>
      <c r="C150" s="46"/>
      <c r="D150" s="46"/>
      <c r="E150" s="46"/>
      <c r="F150" s="46"/>
      <c r="G150" s="46"/>
      <c r="H150" s="46"/>
      <c r="I150" s="46"/>
      <c r="J150" s="46"/>
      <c r="K150" s="46"/>
      <c r="L150" s="46"/>
      <c r="M150" s="46"/>
      <c r="N150" s="46"/>
      <c r="O150" s="46"/>
      <c r="P150" s="13"/>
    </row>
    <row r="151" spans="1:16" s="14" customFormat="1">
      <c r="A151" s="15"/>
      <c r="B151" s="15"/>
      <c r="C151" s="46"/>
      <c r="D151" s="46"/>
      <c r="E151" s="46"/>
      <c r="F151" s="46"/>
      <c r="G151" s="46"/>
      <c r="H151" s="46"/>
      <c r="I151" s="46"/>
      <c r="J151" s="46"/>
      <c r="K151" s="46"/>
      <c r="L151" s="46"/>
      <c r="M151" s="46"/>
      <c r="N151" s="46"/>
      <c r="O151" s="46"/>
      <c r="P151" s="13"/>
    </row>
    <row r="152" spans="1:16" s="14" customFormat="1">
      <c r="A152" s="15"/>
      <c r="B152" s="15"/>
      <c r="C152" s="46"/>
      <c r="D152" s="46"/>
      <c r="E152" s="46"/>
      <c r="F152" s="46"/>
      <c r="G152" s="46"/>
      <c r="H152" s="46"/>
      <c r="I152" s="46"/>
      <c r="J152" s="46"/>
      <c r="K152" s="46"/>
      <c r="L152" s="46"/>
      <c r="M152" s="46"/>
      <c r="N152" s="46"/>
      <c r="O152" s="46"/>
      <c r="P152" s="13"/>
    </row>
    <row r="153" spans="1:16" s="14" customFormat="1">
      <c r="A153" s="15"/>
      <c r="B153" s="15"/>
      <c r="C153" s="46"/>
      <c r="D153" s="46"/>
      <c r="E153" s="46"/>
      <c r="F153" s="46"/>
      <c r="G153" s="46"/>
      <c r="H153" s="46"/>
      <c r="I153" s="46"/>
      <c r="J153" s="46"/>
      <c r="K153" s="46"/>
      <c r="L153" s="46"/>
      <c r="M153" s="46"/>
      <c r="N153" s="46"/>
      <c r="O153" s="46"/>
      <c r="P153" s="13"/>
    </row>
    <row r="154" spans="1:16" s="14" customFormat="1">
      <c r="A154" s="15"/>
      <c r="B154" s="15"/>
      <c r="C154" s="46"/>
      <c r="D154" s="46"/>
      <c r="E154" s="46"/>
      <c r="F154" s="46"/>
      <c r="G154" s="46"/>
      <c r="H154" s="46"/>
      <c r="I154" s="46"/>
      <c r="J154" s="46"/>
      <c r="K154" s="46"/>
      <c r="L154" s="46"/>
      <c r="M154" s="46"/>
      <c r="N154" s="46"/>
      <c r="O154" s="46"/>
      <c r="P154" s="13"/>
    </row>
    <row r="155" spans="1:16" s="14" customFormat="1">
      <c r="A155" s="15"/>
      <c r="B155" s="15"/>
      <c r="C155" s="46"/>
      <c r="D155" s="46"/>
      <c r="E155" s="46"/>
      <c r="F155" s="46"/>
      <c r="G155" s="46"/>
      <c r="H155" s="46"/>
      <c r="I155" s="46"/>
      <c r="J155" s="46"/>
      <c r="K155" s="46"/>
      <c r="L155" s="46"/>
      <c r="M155" s="46"/>
      <c r="N155" s="46"/>
      <c r="O155" s="46"/>
      <c r="P155" s="13"/>
    </row>
    <row r="156" spans="1:16" s="14" customFormat="1">
      <c r="A156" s="15"/>
      <c r="B156" s="15"/>
      <c r="C156" s="46"/>
      <c r="D156" s="46"/>
      <c r="E156" s="46"/>
      <c r="F156" s="46"/>
      <c r="G156" s="46"/>
      <c r="H156" s="46"/>
      <c r="I156" s="46"/>
      <c r="J156" s="46"/>
      <c r="K156" s="46"/>
      <c r="L156" s="46"/>
      <c r="M156" s="46"/>
      <c r="N156" s="46"/>
      <c r="O156" s="46"/>
      <c r="P156" s="13"/>
    </row>
    <row r="157" spans="1:16" s="14" customFormat="1">
      <c r="A157" s="15"/>
      <c r="B157" s="15"/>
      <c r="C157" s="46"/>
      <c r="D157" s="46"/>
      <c r="E157" s="46"/>
      <c r="F157" s="46"/>
      <c r="G157" s="46"/>
      <c r="H157" s="46"/>
      <c r="I157" s="46"/>
      <c r="J157" s="46"/>
      <c r="K157" s="46"/>
      <c r="L157" s="46"/>
      <c r="M157" s="46"/>
      <c r="N157" s="46"/>
      <c r="O157" s="46"/>
      <c r="P157" s="13"/>
    </row>
    <row r="158" spans="1:16" s="14" customFormat="1">
      <c r="A158" s="15"/>
      <c r="B158" s="15"/>
      <c r="C158" s="46"/>
      <c r="D158" s="46"/>
      <c r="E158" s="46"/>
      <c r="F158" s="46"/>
      <c r="G158" s="46"/>
      <c r="H158" s="46"/>
      <c r="I158" s="46"/>
      <c r="J158" s="46"/>
      <c r="K158" s="46"/>
      <c r="L158" s="46"/>
      <c r="M158" s="46"/>
      <c r="N158" s="46"/>
      <c r="O158" s="46"/>
      <c r="P158" s="13"/>
    </row>
    <row r="159" spans="1:16" s="14" customFormat="1">
      <c r="A159" s="15"/>
      <c r="B159" s="15"/>
      <c r="C159" s="46"/>
      <c r="D159" s="46"/>
      <c r="E159" s="46"/>
      <c r="F159" s="46"/>
      <c r="G159" s="46"/>
      <c r="H159" s="46"/>
      <c r="I159" s="46"/>
      <c r="J159" s="46"/>
      <c r="K159" s="46"/>
      <c r="L159" s="46"/>
      <c r="M159" s="46"/>
      <c r="N159" s="46"/>
      <c r="O159" s="46"/>
      <c r="P159" s="13"/>
    </row>
    <row r="160" spans="1:16" s="14" customFormat="1">
      <c r="A160" s="15"/>
      <c r="B160" s="15"/>
      <c r="C160" s="46"/>
      <c r="D160" s="46"/>
      <c r="E160" s="46"/>
      <c r="F160" s="46"/>
      <c r="G160" s="46"/>
      <c r="H160" s="46"/>
      <c r="I160" s="46"/>
      <c r="J160" s="46"/>
      <c r="K160" s="46"/>
      <c r="L160" s="46"/>
      <c r="M160" s="46"/>
      <c r="N160" s="46"/>
      <c r="O160" s="46"/>
      <c r="P160" s="13"/>
    </row>
    <row r="161" spans="1:16" s="14" customFormat="1">
      <c r="A161" s="15"/>
      <c r="B161" s="15"/>
      <c r="C161" s="46"/>
      <c r="D161" s="46"/>
      <c r="E161" s="46"/>
      <c r="F161" s="46"/>
      <c r="G161" s="46"/>
      <c r="H161" s="46"/>
      <c r="I161" s="46"/>
      <c r="J161" s="46"/>
      <c r="K161" s="46"/>
      <c r="L161" s="46"/>
      <c r="M161" s="46"/>
      <c r="N161" s="46"/>
      <c r="O161" s="46"/>
      <c r="P161" s="13"/>
    </row>
    <row r="162" spans="1:16" s="14" customFormat="1">
      <c r="A162" s="15"/>
      <c r="B162" s="15"/>
      <c r="C162" s="46"/>
      <c r="D162" s="46"/>
      <c r="E162" s="46"/>
      <c r="F162" s="46"/>
      <c r="G162" s="46"/>
      <c r="H162" s="46"/>
      <c r="I162" s="46"/>
      <c r="J162" s="46"/>
      <c r="K162" s="46"/>
      <c r="L162" s="46"/>
      <c r="M162" s="46"/>
      <c r="N162" s="46"/>
      <c r="O162" s="46"/>
      <c r="P162" s="13"/>
    </row>
    <row r="163" spans="1:16" s="14" customFormat="1">
      <c r="A163" s="15"/>
      <c r="B163" s="15"/>
      <c r="C163" s="46"/>
      <c r="D163" s="46"/>
      <c r="E163" s="46"/>
      <c r="F163" s="46"/>
      <c r="G163" s="46"/>
      <c r="H163" s="46"/>
      <c r="I163" s="46"/>
      <c r="J163" s="46"/>
      <c r="K163" s="46"/>
      <c r="L163" s="46"/>
      <c r="M163" s="46"/>
      <c r="N163" s="46"/>
      <c r="O163" s="46"/>
      <c r="P163" s="13"/>
    </row>
    <row r="164" spans="1:16" s="14" customFormat="1">
      <c r="A164" s="15"/>
      <c r="B164" s="15"/>
      <c r="C164" s="46"/>
      <c r="D164" s="46"/>
      <c r="E164" s="46"/>
      <c r="F164" s="46"/>
      <c r="G164" s="46"/>
      <c r="H164" s="46"/>
      <c r="I164" s="46"/>
      <c r="J164" s="46"/>
      <c r="K164" s="46"/>
      <c r="L164" s="46"/>
      <c r="M164" s="46"/>
      <c r="N164" s="46"/>
      <c r="O164" s="46"/>
      <c r="P164" s="13"/>
    </row>
    <row r="165" spans="1:16" s="14" customFormat="1">
      <c r="A165" s="15"/>
      <c r="B165" s="15"/>
      <c r="C165" s="46"/>
      <c r="D165" s="46"/>
      <c r="E165" s="46"/>
      <c r="F165" s="46"/>
      <c r="G165" s="46"/>
      <c r="H165" s="46"/>
      <c r="I165" s="46"/>
      <c r="J165" s="46"/>
      <c r="K165" s="46"/>
      <c r="L165" s="46"/>
      <c r="M165" s="46"/>
      <c r="N165" s="46"/>
      <c r="O165" s="46"/>
      <c r="P165" s="13"/>
    </row>
    <row r="166" spans="1:16" s="14" customFormat="1">
      <c r="A166" s="15"/>
      <c r="B166" s="15"/>
      <c r="C166" s="46"/>
      <c r="D166" s="46"/>
      <c r="E166" s="46"/>
      <c r="F166" s="46"/>
      <c r="G166" s="46"/>
      <c r="H166" s="46"/>
      <c r="I166" s="46"/>
      <c r="J166" s="46"/>
      <c r="K166" s="46"/>
      <c r="L166" s="46"/>
      <c r="M166" s="46"/>
      <c r="N166" s="46"/>
      <c r="O166" s="46"/>
      <c r="P166" s="13"/>
    </row>
    <row r="167" spans="1:16" s="14" customFormat="1">
      <c r="A167" s="15"/>
      <c r="B167" s="15"/>
      <c r="C167" s="46"/>
      <c r="D167" s="46"/>
      <c r="E167" s="46"/>
      <c r="F167" s="46"/>
      <c r="G167" s="46"/>
      <c r="H167" s="46"/>
      <c r="I167" s="46"/>
      <c r="J167" s="46"/>
      <c r="K167" s="46"/>
      <c r="L167" s="46"/>
      <c r="M167" s="46"/>
      <c r="N167" s="46"/>
      <c r="O167" s="46"/>
      <c r="P167" s="13"/>
    </row>
    <row r="168" spans="1:16" s="14" customFormat="1">
      <c r="A168" s="15"/>
      <c r="B168" s="15"/>
      <c r="C168" s="46"/>
      <c r="D168" s="46"/>
      <c r="E168" s="46"/>
      <c r="F168" s="46"/>
      <c r="G168" s="46"/>
      <c r="H168" s="46"/>
      <c r="I168" s="46"/>
      <c r="J168" s="46"/>
      <c r="K168" s="46"/>
      <c r="L168" s="46"/>
      <c r="M168" s="46"/>
      <c r="N168" s="46"/>
      <c r="O168" s="46"/>
      <c r="P168" s="13"/>
    </row>
    <row r="169" spans="1:16" s="14" customFormat="1">
      <c r="A169" s="15"/>
      <c r="B169" s="15"/>
      <c r="C169" s="46"/>
      <c r="D169" s="46"/>
      <c r="E169" s="46"/>
      <c r="F169" s="46"/>
      <c r="G169" s="46"/>
      <c r="H169" s="46"/>
      <c r="I169" s="46"/>
      <c r="J169" s="46"/>
      <c r="K169" s="46"/>
      <c r="L169" s="46"/>
      <c r="M169" s="46"/>
      <c r="N169" s="46"/>
      <c r="O169" s="46"/>
      <c r="P169" s="13"/>
    </row>
    <row r="170" spans="1:16" s="14" customFormat="1">
      <c r="A170" s="15"/>
      <c r="B170" s="15"/>
      <c r="C170" s="46"/>
      <c r="D170" s="46"/>
      <c r="E170" s="46"/>
      <c r="F170" s="46"/>
      <c r="G170" s="46"/>
      <c r="H170" s="46"/>
      <c r="I170" s="46"/>
      <c r="J170" s="46"/>
      <c r="K170" s="46"/>
      <c r="L170" s="46"/>
      <c r="M170" s="46"/>
      <c r="N170" s="46"/>
      <c r="O170" s="46"/>
      <c r="P170" s="13"/>
    </row>
    <row r="171" spans="1:16" s="14" customFormat="1">
      <c r="A171" s="15"/>
      <c r="B171" s="15"/>
      <c r="C171" s="46"/>
      <c r="D171" s="46"/>
      <c r="E171" s="46"/>
      <c r="F171" s="46"/>
      <c r="G171" s="46"/>
      <c r="H171" s="46"/>
      <c r="I171" s="46"/>
      <c r="J171" s="46"/>
      <c r="K171" s="46"/>
      <c r="L171" s="46"/>
      <c r="M171" s="46"/>
      <c r="N171" s="46"/>
      <c r="O171" s="46"/>
      <c r="P171" s="13"/>
    </row>
    <row r="172" spans="1:16" s="14" customFormat="1">
      <c r="A172" s="15"/>
      <c r="B172" s="15"/>
      <c r="C172" s="46"/>
      <c r="D172" s="46"/>
      <c r="E172" s="46"/>
      <c r="F172" s="46"/>
      <c r="G172" s="46"/>
      <c r="H172" s="46"/>
      <c r="I172" s="46"/>
      <c r="J172" s="46"/>
      <c r="K172" s="46"/>
      <c r="L172" s="46"/>
      <c r="M172" s="46"/>
      <c r="N172" s="46"/>
      <c r="O172" s="46"/>
      <c r="P172" s="13"/>
    </row>
    <row r="173" spans="1:16" s="14" customFormat="1">
      <c r="A173" s="15"/>
      <c r="B173" s="15"/>
      <c r="C173" s="46"/>
      <c r="D173" s="46"/>
      <c r="E173" s="46"/>
      <c r="F173" s="46"/>
      <c r="G173" s="46"/>
      <c r="H173" s="46"/>
      <c r="I173" s="46"/>
      <c r="J173" s="46"/>
      <c r="K173" s="46"/>
      <c r="L173" s="46"/>
      <c r="M173" s="46"/>
      <c r="N173" s="46"/>
      <c r="O173" s="46"/>
      <c r="P173" s="13"/>
    </row>
    <row r="174" spans="1:16" s="14" customFormat="1">
      <c r="A174" s="15"/>
      <c r="B174" s="15"/>
      <c r="C174" s="46"/>
      <c r="D174" s="46"/>
      <c r="E174" s="46"/>
      <c r="F174" s="46"/>
      <c r="G174" s="46"/>
      <c r="H174" s="46"/>
      <c r="I174" s="46"/>
      <c r="J174" s="46"/>
      <c r="K174" s="46"/>
      <c r="L174" s="46"/>
      <c r="M174" s="46"/>
      <c r="N174" s="46"/>
      <c r="O174" s="46"/>
      <c r="P174" s="13"/>
    </row>
    <row r="175" spans="1:16" s="14" customFormat="1">
      <c r="A175" s="15"/>
      <c r="B175" s="15"/>
      <c r="C175" s="46"/>
      <c r="D175" s="46"/>
      <c r="E175" s="46"/>
      <c r="F175" s="46"/>
      <c r="G175" s="46"/>
      <c r="H175" s="46"/>
      <c r="I175" s="46"/>
      <c r="J175" s="46"/>
      <c r="K175" s="46"/>
      <c r="L175" s="46"/>
      <c r="M175" s="46"/>
      <c r="N175" s="46"/>
      <c r="O175" s="46"/>
      <c r="P175" s="13"/>
    </row>
    <row r="176" spans="1:16" s="14" customFormat="1">
      <c r="A176" s="15"/>
      <c r="B176" s="15"/>
      <c r="C176" s="46"/>
      <c r="D176" s="46"/>
      <c r="E176" s="46"/>
      <c r="F176" s="46"/>
      <c r="G176" s="46"/>
      <c r="H176" s="46"/>
      <c r="I176" s="46"/>
      <c r="J176" s="46"/>
      <c r="K176" s="46"/>
      <c r="L176" s="46"/>
      <c r="M176" s="46"/>
      <c r="N176" s="46"/>
      <c r="O176" s="46"/>
      <c r="P176" s="13"/>
    </row>
    <row r="177" spans="1:16" s="14" customFormat="1">
      <c r="A177" s="15"/>
      <c r="B177" s="15"/>
      <c r="C177" s="46"/>
      <c r="D177" s="46"/>
      <c r="E177" s="46"/>
      <c r="F177" s="46"/>
      <c r="G177" s="46"/>
      <c r="H177" s="46"/>
      <c r="I177" s="46"/>
      <c r="J177" s="46"/>
      <c r="K177" s="46"/>
      <c r="L177" s="46"/>
      <c r="M177" s="46"/>
      <c r="N177" s="46"/>
      <c r="O177" s="46"/>
      <c r="P177" s="13"/>
    </row>
    <row r="178" spans="1:16" s="14" customFormat="1">
      <c r="A178" s="15"/>
      <c r="B178" s="15"/>
      <c r="C178" s="46"/>
      <c r="D178" s="46"/>
      <c r="E178" s="46"/>
      <c r="F178" s="46"/>
      <c r="G178" s="46"/>
      <c r="H178" s="46"/>
      <c r="I178" s="46"/>
      <c r="J178" s="46"/>
      <c r="K178" s="46"/>
      <c r="L178" s="46"/>
      <c r="M178" s="46"/>
      <c r="N178" s="46"/>
      <c r="O178" s="46"/>
      <c r="P178" s="13"/>
    </row>
    <row r="179" spans="1:16" s="14" customFormat="1">
      <c r="A179" s="15"/>
      <c r="B179" s="15"/>
      <c r="C179" s="46"/>
      <c r="D179" s="46"/>
      <c r="E179" s="46"/>
      <c r="F179" s="46"/>
      <c r="G179" s="46"/>
      <c r="H179" s="46"/>
      <c r="I179" s="46"/>
      <c r="J179" s="46"/>
      <c r="K179" s="46"/>
      <c r="L179" s="46"/>
      <c r="M179" s="46"/>
      <c r="N179" s="46"/>
      <c r="O179" s="46"/>
      <c r="P179" s="13"/>
    </row>
    <row r="180" spans="1:16" s="14" customFormat="1">
      <c r="A180" s="15"/>
      <c r="B180" s="15"/>
      <c r="C180" s="46"/>
      <c r="D180" s="46"/>
      <c r="E180" s="46"/>
      <c r="F180" s="46"/>
      <c r="G180" s="46"/>
      <c r="H180" s="46"/>
      <c r="I180" s="46"/>
      <c r="J180" s="46"/>
      <c r="K180" s="46"/>
      <c r="L180" s="46"/>
      <c r="M180" s="46"/>
      <c r="N180" s="46"/>
      <c r="O180" s="46"/>
      <c r="P180" s="13"/>
    </row>
    <row r="181" spans="1:16" s="14" customFormat="1">
      <c r="A181" s="15"/>
      <c r="B181" s="15"/>
      <c r="C181" s="46"/>
      <c r="D181" s="46"/>
      <c r="E181" s="46"/>
      <c r="F181" s="46"/>
      <c r="G181" s="46"/>
      <c r="H181" s="46"/>
      <c r="I181" s="46"/>
      <c r="J181" s="46"/>
      <c r="K181" s="46"/>
      <c r="L181" s="46"/>
      <c r="M181" s="46"/>
      <c r="N181" s="46"/>
      <c r="O181" s="46"/>
      <c r="P181" s="13"/>
    </row>
    <row r="182" spans="1:16" s="14" customFormat="1">
      <c r="A182" s="15"/>
      <c r="B182" s="15"/>
      <c r="C182" s="46"/>
      <c r="D182" s="46"/>
      <c r="E182" s="46"/>
      <c r="F182" s="46"/>
      <c r="G182" s="46"/>
      <c r="H182" s="46"/>
      <c r="I182" s="46"/>
      <c r="J182" s="46"/>
      <c r="K182" s="46"/>
      <c r="L182" s="46"/>
      <c r="M182" s="46"/>
      <c r="N182" s="46"/>
      <c r="O182" s="46"/>
      <c r="P182" s="13"/>
    </row>
    <row r="183" spans="1:16" s="14" customFormat="1">
      <c r="A183" s="15"/>
      <c r="B183" s="15"/>
      <c r="C183" s="46"/>
      <c r="D183" s="46"/>
      <c r="E183" s="46"/>
      <c r="F183" s="46"/>
      <c r="G183" s="46"/>
      <c r="H183" s="46"/>
      <c r="I183" s="46"/>
      <c r="J183" s="46"/>
      <c r="K183" s="46"/>
      <c r="L183" s="46"/>
      <c r="M183" s="46"/>
      <c r="N183" s="46"/>
      <c r="O183" s="46"/>
      <c r="P183" s="13"/>
    </row>
    <row r="184" spans="1:16" s="14" customFormat="1">
      <c r="A184" s="15"/>
      <c r="B184" s="15"/>
      <c r="C184" s="46"/>
      <c r="D184" s="46"/>
      <c r="E184" s="46"/>
      <c r="F184" s="46"/>
      <c r="G184" s="46"/>
      <c r="H184" s="46"/>
      <c r="I184" s="46"/>
      <c r="J184" s="46"/>
      <c r="K184" s="46"/>
      <c r="L184" s="46"/>
      <c r="M184" s="46"/>
      <c r="N184" s="46"/>
      <c r="O184" s="46"/>
      <c r="P184" s="13"/>
    </row>
    <row r="185" spans="1:16" s="14" customFormat="1">
      <c r="A185" s="15"/>
      <c r="B185" s="15"/>
      <c r="C185" s="46"/>
      <c r="D185" s="46"/>
      <c r="E185" s="46"/>
      <c r="F185" s="46"/>
      <c r="G185" s="46"/>
      <c r="H185" s="46"/>
      <c r="I185" s="46"/>
      <c r="J185" s="46"/>
      <c r="K185" s="46"/>
      <c r="L185" s="46"/>
      <c r="M185" s="46"/>
      <c r="N185" s="46"/>
      <c r="O185" s="46"/>
      <c r="P185" s="13"/>
    </row>
    <row r="186" spans="1:16" s="14" customFormat="1">
      <c r="A186" s="15"/>
      <c r="B186" s="15"/>
      <c r="C186" s="46"/>
      <c r="D186" s="46"/>
      <c r="E186" s="46"/>
      <c r="F186" s="46"/>
      <c r="G186" s="46"/>
      <c r="H186" s="46"/>
      <c r="I186" s="46"/>
      <c r="J186" s="46"/>
      <c r="K186" s="46"/>
      <c r="L186" s="46"/>
      <c r="M186" s="46"/>
      <c r="N186" s="46"/>
      <c r="O186" s="46"/>
      <c r="P186" s="13"/>
    </row>
    <row r="187" spans="1:16" s="14" customFormat="1">
      <c r="A187" s="15"/>
      <c r="B187" s="15"/>
      <c r="C187" s="46"/>
      <c r="D187" s="46"/>
      <c r="E187" s="46"/>
      <c r="F187" s="46"/>
      <c r="G187" s="46"/>
      <c r="H187" s="46"/>
      <c r="I187" s="46"/>
      <c r="J187" s="46"/>
      <c r="K187" s="46"/>
      <c r="L187" s="46"/>
      <c r="M187" s="46"/>
      <c r="N187" s="46"/>
      <c r="O187" s="46"/>
      <c r="P187" s="13"/>
    </row>
    <row r="188" spans="1:16" s="14" customFormat="1">
      <c r="A188" s="15"/>
      <c r="B188" s="15"/>
      <c r="C188" s="46"/>
      <c r="D188" s="46"/>
      <c r="E188" s="46"/>
      <c r="F188" s="46"/>
      <c r="G188" s="46"/>
      <c r="H188" s="46"/>
      <c r="I188" s="46"/>
      <c r="J188" s="46"/>
      <c r="K188" s="46"/>
      <c r="L188" s="46"/>
      <c r="M188" s="46"/>
      <c r="N188" s="46"/>
      <c r="O188" s="46"/>
      <c r="P188" s="13"/>
    </row>
    <row r="189" spans="1:16" s="14" customFormat="1">
      <c r="A189" s="15"/>
      <c r="B189" s="15"/>
      <c r="C189" s="46"/>
      <c r="D189" s="46"/>
      <c r="E189" s="46"/>
      <c r="F189" s="46"/>
      <c r="G189" s="46"/>
      <c r="H189" s="46"/>
      <c r="I189" s="46"/>
      <c r="J189" s="46"/>
      <c r="K189" s="46"/>
      <c r="L189" s="46"/>
      <c r="M189" s="46"/>
      <c r="N189" s="46"/>
      <c r="O189" s="46"/>
      <c r="P189" s="13"/>
    </row>
    <row r="190" spans="1:16" s="14" customFormat="1">
      <c r="A190" s="15"/>
      <c r="B190" s="15"/>
      <c r="C190" s="46"/>
      <c r="D190" s="46"/>
      <c r="E190" s="46"/>
      <c r="F190" s="46"/>
      <c r="G190" s="46"/>
      <c r="H190" s="46"/>
      <c r="I190" s="46"/>
      <c r="J190" s="46"/>
      <c r="K190" s="46"/>
      <c r="L190" s="46"/>
      <c r="M190" s="46"/>
      <c r="N190" s="46"/>
      <c r="O190" s="46"/>
      <c r="P190" s="13"/>
    </row>
    <row r="191" spans="1:16" s="14" customFormat="1">
      <c r="A191" s="15"/>
      <c r="B191" s="15"/>
      <c r="C191" s="46"/>
      <c r="D191" s="46"/>
      <c r="E191" s="46"/>
      <c r="F191" s="46"/>
      <c r="G191" s="46"/>
      <c r="H191" s="46"/>
      <c r="I191" s="46"/>
      <c r="J191" s="46"/>
      <c r="K191" s="46"/>
      <c r="L191" s="46"/>
      <c r="M191" s="46"/>
      <c r="N191" s="46"/>
      <c r="O191" s="46"/>
      <c r="P191" s="13"/>
    </row>
    <row r="192" spans="1:16" s="14" customFormat="1">
      <c r="A192" s="15"/>
      <c r="B192" s="15"/>
      <c r="C192" s="46"/>
      <c r="D192" s="46"/>
      <c r="E192" s="46"/>
      <c r="F192" s="46"/>
      <c r="G192" s="46"/>
      <c r="H192" s="46"/>
      <c r="I192" s="46"/>
      <c r="J192" s="46"/>
      <c r="K192" s="46"/>
      <c r="L192" s="46"/>
      <c r="M192" s="46"/>
      <c r="N192" s="46"/>
      <c r="O192" s="46"/>
      <c r="P192" s="13"/>
    </row>
    <row r="193" spans="1:16" s="14" customFormat="1">
      <c r="A193" s="15"/>
      <c r="B193" s="15"/>
      <c r="C193" s="46"/>
      <c r="D193" s="46"/>
      <c r="E193" s="46"/>
      <c r="F193" s="46"/>
      <c r="G193" s="46"/>
      <c r="H193" s="46"/>
      <c r="I193" s="46"/>
      <c r="J193" s="46"/>
      <c r="K193" s="46"/>
      <c r="L193" s="46"/>
      <c r="M193" s="46"/>
      <c r="N193" s="46"/>
      <c r="O193" s="46"/>
      <c r="P193" s="13"/>
    </row>
    <row r="194" spans="1:16" s="14" customFormat="1">
      <c r="A194" s="15"/>
      <c r="B194" s="15"/>
      <c r="C194" s="46"/>
      <c r="D194" s="46"/>
      <c r="E194" s="46"/>
      <c r="F194" s="46"/>
      <c r="G194" s="46"/>
      <c r="H194" s="46"/>
      <c r="I194" s="46"/>
      <c r="J194" s="46"/>
      <c r="K194" s="46"/>
      <c r="L194" s="46"/>
      <c r="M194" s="46"/>
      <c r="N194" s="46"/>
      <c r="O194" s="46"/>
      <c r="P194" s="13"/>
    </row>
    <row r="195" spans="1:16" s="14" customFormat="1">
      <c r="A195" s="15"/>
      <c r="B195" s="15"/>
      <c r="C195" s="46"/>
      <c r="D195" s="46"/>
      <c r="E195" s="46"/>
      <c r="F195" s="46"/>
      <c r="G195" s="46"/>
      <c r="H195" s="46"/>
      <c r="I195" s="46"/>
      <c r="J195" s="46"/>
      <c r="K195" s="46"/>
      <c r="L195" s="46"/>
      <c r="M195" s="46"/>
      <c r="N195" s="46"/>
      <c r="O195" s="46"/>
      <c r="P195" s="13"/>
    </row>
    <row r="196" spans="1:16" s="14" customFormat="1">
      <c r="A196" s="15"/>
      <c r="B196" s="15"/>
      <c r="C196" s="46"/>
      <c r="D196" s="46"/>
      <c r="E196" s="46"/>
      <c r="F196" s="46"/>
      <c r="G196" s="46"/>
      <c r="H196" s="46"/>
      <c r="I196" s="46"/>
      <c r="J196" s="46"/>
      <c r="K196" s="46"/>
      <c r="L196" s="46"/>
      <c r="M196" s="46"/>
      <c r="N196" s="46"/>
      <c r="O196" s="46"/>
      <c r="P196" s="13"/>
    </row>
    <row r="197" spans="1:16" s="14" customFormat="1">
      <c r="A197" s="15"/>
      <c r="B197" s="15"/>
      <c r="C197" s="46"/>
      <c r="D197" s="46"/>
      <c r="E197" s="46"/>
      <c r="F197" s="46"/>
      <c r="G197" s="46"/>
      <c r="H197" s="46"/>
      <c r="I197" s="46"/>
      <c r="J197" s="46"/>
      <c r="K197" s="46"/>
      <c r="L197" s="46"/>
      <c r="M197" s="46"/>
      <c r="N197" s="46"/>
      <c r="O197" s="46"/>
      <c r="P197" s="13"/>
    </row>
    <row r="198" spans="1:16" s="14" customFormat="1">
      <c r="A198" s="15"/>
      <c r="B198" s="15"/>
      <c r="C198" s="46"/>
      <c r="D198" s="46"/>
      <c r="E198" s="46"/>
      <c r="F198" s="46"/>
      <c r="G198" s="46"/>
      <c r="H198" s="46"/>
      <c r="I198" s="46"/>
      <c r="J198" s="46"/>
      <c r="K198" s="46"/>
      <c r="L198" s="46"/>
      <c r="M198" s="46"/>
      <c r="N198" s="46"/>
      <c r="O198" s="46"/>
      <c r="P198" s="13"/>
    </row>
    <row r="199" spans="1:16" s="14" customFormat="1">
      <c r="A199" s="15"/>
      <c r="B199" s="15"/>
      <c r="C199" s="46"/>
      <c r="D199" s="46"/>
      <c r="E199" s="46"/>
      <c r="F199" s="46"/>
      <c r="G199" s="46"/>
      <c r="H199" s="46"/>
      <c r="I199" s="46"/>
      <c r="J199" s="46"/>
      <c r="K199" s="46"/>
      <c r="L199" s="46"/>
      <c r="M199" s="46"/>
      <c r="N199" s="46"/>
      <c r="O199" s="46"/>
      <c r="P199" s="13"/>
    </row>
    <row r="200" spans="1:16" s="14" customFormat="1">
      <c r="A200" s="15"/>
      <c r="B200" s="15"/>
      <c r="C200" s="46"/>
      <c r="D200" s="46"/>
      <c r="E200" s="46"/>
      <c r="F200" s="46"/>
      <c r="G200" s="46"/>
      <c r="H200" s="46"/>
      <c r="I200" s="46"/>
      <c r="J200" s="46"/>
      <c r="K200" s="46"/>
      <c r="L200" s="46"/>
      <c r="M200" s="46"/>
      <c r="N200" s="46"/>
      <c r="O200" s="46"/>
      <c r="P200" s="13"/>
    </row>
    <row r="201" spans="1:16" s="14" customFormat="1">
      <c r="A201" s="15"/>
      <c r="B201" s="15"/>
      <c r="C201" s="46"/>
      <c r="D201" s="46"/>
      <c r="E201" s="46"/>
      <c r="F201" s="46"/>
      <c r="G201" s="46"/>
      <c r="H201" s="46"/>
      <c r="I201" s="46"/>
      <c r="J201" s="46"/>
      <c r="K201" s="46"/>
      <c r="L201" s="46"/>
      <c r="M201" s="46"/>
      <c r="N201" s="46"/>
      <c r="O201" s="46"/>
      <c r="P201" s="13"/>
    </row>
    <row r="202" spans="1:16" s="14" customFormat="1">
      <c r="A202" s="15"/>
      <c r="B202" s="15"/>
      <c r="C202" s="46"/>
      <c r="D202" s="46"/>
      <c r="E202" s="46"/>
      <c r="F202" s="46"/>
      <c r="G202" s="46"/>
      <c r="H202" s="46"/>
      <c r="I202" s="46"/>
      <c r="J202" s="46"/>
      <c r="K202" s="46"/>
      <c r="L202" s="46"/>
      <c r="M202" s="46"/>
      <c r="N202" s="46"/>
      <c r="O202" s="46"/>
      <c r="P202" s="13"/>
    </row>
    <row r="203" spans="1:16" s="14" customFormat="1">
      <c r="A203" s="15"/>
      <c r="B203" s="15"/>
      <c r="C203" s="46"/>
      <c r="D203" s="46"/>
      <c r="E203" s="46"/>
      <c r="F203" s="46"/>
      <c r="G203" s="46"/>
      <c r="H203" s="46"/>
      <c r="I203" s="46"/>
      <c r="J203" s="46"/>
      <c r="K203" s="46"/>
      <c r="L203" s="46"/>
      <c r="M203" s="46"/>
      <c r="N203" s="46"/>
      <c r="O203" s="46"/>
      <c r="P203" s="13"/>
    </row>
    <row r="204" spans="1:16" s="14" customFormat="1">
      <c r="A204" s="15"/>
      <c r="B204" s="15"/>
      <c r="C204" s="46"/>
      <c r="D204" s="46"/>
      <c r="E204" s="46"/>
      <c r="F204" s="46"/>
      <c r="G204" s="46"/>
      <c r="H204" s="46"/>
      <c r="I204" s="46"/>
      <c r="J204" s="46"/>
      <c r="K204" s="46"/>
      <c r="L204" s="46"/>
      <c r="M204" s="46"/>
      <c r="N204" s="46"/>
      <c r="O204" s="46"/>
      <c r="P204" s="13"/>
    </row>
    <row r="205" spans="1:16" s="14" customFormat="1">
      <c r="A205" s="15"/>
      <c r="B205" s="15"/>
      <c r="C205" s="46"/>
      <c r="D205" s="46"/>
      <c r="E205" s="46"/>
      <c r="F205" s="46"/>
      <c r="G205" s="46"/>
      <c r="H205" s="46"/>
      <c r="I205" s="46"/>
      <c r="J205" s="46"/>
      <c r="K205" s="46"/>
      <c r="L205" s="46"/>
      <c r="M205" s="46"/>
      <c r="N205" s="46"/>
      <c r="O205" s="46"/>
      <c r="P205" s="13"/>
    </row>
    <row r="206" spans="1:16" s="14" customFormat="1">
      <c r="A206" s="15"/>
      <c r="B206" s="15"/>
      <c r="C206" s="46"/>
      <c r="D206" s="46"/>
      <c r="E206" s="46"/>
      <c r="F206" s="46"/>
      <c r="G206" s="46"/>
      <c r="H206" s="46"/>
      <c r="I206" s="46"/>
      <c r="J206" s="46"/>
      <c r="K206" s="46"/>
      <c r="L206" s="46"/>
      <c r="M206" s="46"/>
      <c r="N206" s="46"/>
      <c r="O206" s="46"/>
      <c r="P206" s="13"/>
    </row>
    <row r="207" spans="1:16" s="14" customFormat="1">
      <c r="A207" s="15"/>
      <c r="B207" s="15"/>
      <c r="C207" s="46"/>
      <c r="D207" s="46"/>
      <c r="E207" s="46"/>
      <c r="F207" s="46"/>
      <c r="G207" s="46"/>
      <c r="H207" s="46"/>
      <c r="I207" s="46"/>
      <c r="J207" s="46"/>
      <c r="K207" s="46"/>
      <c r="L207" s="46"/>
      <c r="M207" s="46"/>
      <c r="N207" s="46"/>
      <c r="O207" s="46"/>
      <c r="P207" s="13"/>
    </row>
    <row r="208" spans="1:16" s="14" customFormat="1">
      <c r="A208" s="15"/>
      <c r="B208" s="15"/>
      <c r="C208" s="46"/>
      <c r="D208" s="46"/>
      <c r="E208" s="46"/>
      <c r="F208" s="46"/>
      <c r="G208" s="46"/>
      <c r="H208" s="46"/>
      <c r="I208" s="46"/>
      <c r="J208" s="46"/>
      <c r="K208" s="46"/>
      <c r="L208" s="46"/>
      <c r="M208" s="46"/>
      <c r="N208" s="46"/>
      <c r="O208" s="46"/>
      <c r="P208" s="13"/>
    </row>
    <row r="209" spans="1:16" s="14" customFormat="1">
      <c r="A209" s="15"/>
      <c r="B209" s="15"/>
      <c r="C209" s="46"/>
      <c r="D209" s="46"/>
      <c r="E209" s="46"/>
      <c r="F209" s="46"/>
      <c r="G209" s="46"/>
      <c r="H209" s="46"/>
      <c r="I209" s="46"/>
      <c r="J209" s="46"/>
      <c r="K209" s="46"/>
      <c r="L209" s="46"/>
      <c r="M209" s="46"/>
      <c r="N209" s="46"/>
      <c r="O209" s="46"/>
      <c r="P209" s="13"/>
    </row>
    <row r="210" spans="1:16" s="14" customFormat="1">
      <c r="A210" s="15"/>
      <c r="B210" s="15"/>
      <c r="C210" s="46"/>
      <c r="D210" s="46"/>
      <c r="E210" s="46"/>
      <c r="F210" s="46"/>
      <c r="G210" s="46"/>
      <c r="H210" s="46"/>
      <c r="I210" s="46"/>
      <c r="J210" s="46"/>
      <c r="K210" s="46"/>
      <c r="L210" s="46"/>
      <c r="M210" s="46"/>
      <c r="N210" s="46"/>
      <c r="O210" s="46"/>
      <c r="P210" s="13"/>
    </row>
    <row r="211" spans="1:16" s="14" customFormat="1">
      <c r="A211" s="15"/>
      <c r="B211" s="15"/>
      <c r="C211" s="46"/>
      <c r="D211" s="46"/>
      <c r="E211" s="46"/>
      <c r="F211" s="46"/>
      <c r="G211" s="46"/>
      <c r="H211" s="46"/>
      <c r="I211" s="46"/>
      <c r="J211" s="46"/>
      <c r="K211" s="46"/>
      <c r="L211" s="46"/>
      <c r="M211" s="46"/>
      <c r="N211" s="46"/>
      <c r="O211" s="46"/>
      <c r="P211" s="13"/>
    </row>
    <row r="212" spans="1:16" s="14" customFormat="1">
      <c r="A212" s="15"/>
      <c r="B212" s="15"/>
      <c r="C212" s="46"/>
      <c r="D212" s="46"/>
      <c r="E212" s="46"/>
      <c r="F212" s="46"/>
      <c r="G212" s="46"/>
      <c r="H212" s="46"/>
      <c r="I212" s="46"/>
      <c r="J212" s="46"/>
      <c r="K212" s="46"/>
      <c r="L212" s="46"/>
      <c r="M212" s="46"/>
      <c r="N212" s="46"/>
      <c r="O212" s="46"/>
      <c r="P212" s="13"/>
    </row>
    <row r="213" spans="1:16" s="14" customFormat="1">
      <c r="A213" s="15"/>
      <c r="B213" s="15"/>
      <c r="C213" s="46"/>
      <c r="D213" s="46"/>
      <c r="E213" s="46"/>
      <c r="F213" s="46"/>
      <c r="G213" s="46"/>
      <c r="H213" s="46"/>
      <c r="I213" s="46"/>
      <c r="J213" s="46"/>
      <c r="K213" s="46"/>
      <c r="L213" s="46"/>
      <c r="M213" s="46"/>
      <c r="N213" s="46"/>
      <c r="O213" s="46"/>
      <c r="P213" s="13"/>
    </row>
    <row r="214" spans="1:16" s="14" customFormat="1">
      <c r="A214" s="15"/>
      <c r="B214" s="15"/>
      <c r="C214" s="46"/>
      <c r="D214" s="46"/>
      <c r="E214" s="46"/>
      <c r="F214" s="46"/>
      <c r="G214" s="46"/>
      <c r="H214" s="46"/>
      <c r="I214" s="46"/>
      <c r="J214" s="46"/>
      <c r="K214" s="46"/>
      <c r="L214" s="46"/>
      <c r="M214" s="46"/>
      <c r="N214" s="46"/>
      <c r="O214" s="46"/>
      <c r="P214" s="13"/>
    </row>
    <row r="215" spans="1:16" s="14" customFormat="1">
      <c r="A215" s="15"/>
      <c r="B215" s="15"/>
      <c r="C215" s="46"/>
      <c r="D215" s="46"/>
      <c r="E215" s="46"/>
      <c r="F215" s="46"/>
      <c r="G215" s="46"/>
      <c r="H215" s="46"/>
      <c r="I215" s="46"/>
      <c r="J215" s="46"/>
      <c r="K215" s="46"/>
      <c r="L215" s="46"/>
      <c r="M215" s="46"/>
      <c r="N215" s="46"/>
      <c r="O215" s="46"/>
      <c r="P215" s="13"/>
    </row>
    <row r="216" spans="1:16" s="14" customFormat="1">
      <c r="A216" s="15"/>
      <c r="B216" s="15"/>
      <c r="C216" s="46"/>
      <c r="D216" s="46"/>
      <c r="E216" s="46"/>
      <c r="F216" s="46"/>
      <c r="G216" s="46"/>
      <c r="H216" s="46"/>
      <c r="I216" s="46"/>
      <c r="J216" s="46"/>
      <c r="K216" s="46"/>
      <c r="L216" s="46"/>
      <c r="M216" s="46"/>
      <c r="N216" s="46"/>
      <c r="O216" s="46"/>
      <c r="P216" s="13"/>
    </row>
    <row r="217" spans="1:16" s="14" customFormat="1">
      <c r="A217" s="15"/>
      <c r="B217" s="15"/>
      <c r="C217" s="46"/>
      <c r="D217" s="46"/>
      <c r="E217" s="46"/>
      <c r="F217" s="46"/>
      <c r="G217" s="46"/>
      <c r="H217" s="46"/>
      <c r="I217" s="46"/>
      <c r="J217" s="46"/>
      <c r="K217" s="46"/>
      <c r="L217" s="46"/>
      <c r="M217" s="46"/>
      <c r="N217" s="46"/>
      <c r="O217" s="46"/>
      <c r="P217" s="13"/>
    </row>
    <row r="218" spans="1:16" s="14" customFormat="1">
      <c r="A218" s="15"/>
      <c r="B218" s="15"/>
      <c r="C218" s="46"/>
      <c r="D218" s="46"/>
      <c r="E218" s="46"/>
      <c r="F218" s="46"/>
      <c r="G218" s="46"/>
      <c r="H218" s="46"/>
      <c r="I218" s="46"/>
      <c r="J218" s="46"/>
      <c r="K218" s="46"/>
      <c r="L218" s="46"/>
      <c r="M218" s="46"/>
      <c r="N218" s="46"/>
      <c r="O218" s="46"/>
      <c r="P218" s="13"/>
    </row>
    <row r="219" spans="1:16" s="14" customFormat="1">
      <c r="A219" s="15"/>
      <c r="B219" s="15"/>
      <c r="C219" s="46"/>
      <c r="D219" s="46"/>
      <c r="E219" s="46"/>
      <c r="F219" s="46"/>
      <c r="G219" s="46"/>
      <c r="H219" s="46"/>
      <c r="I219" s="46"/>
      <c r="J219" s="46"/>
      <c r="K219" s="46"/>
      <c r="L219" s="46"/>
      <c r="M219" s="46"/>
      <c r="N219" s="46"/>
      <c r="O219" s="46"/>
      <c r="P219" s="13"/>
    </row>
    <row r="220" spans="1:16" s="14" customFormat="1">
      <c r="A220" s="15"/>
      <c r="B220" s="15"/>
      <c r="C220" s="46"/>
      <c r="D220" s="46"/>
      <c r="E220" s="46"/>
      <c r="F220" s="46"/>
      <c r="G220" s="46"/>
      <c r="H220" s="46"/>
      <c r="I220" s="46"/>
      <c r="J220" s="46"/>
      <c r="K220" s="46"/>
      <c r="L220" s="46"/>
      <c r="M220" s="46"/>
      <c r="N220" s="46"/>
      <c r="O220" s="46"/>
      <c r="P220" s="13"/>
    </row>
    <row r="221" spans="1:16" s="14" customFormat="1">
      <c r="A221" s="15"/>
      <c r="B221" s="15"/>
      <c r="C221" s="46"/>
      <c r="D221" s="46"/>
      <c r="E221" s="46"/>
      <c r="F221" s="46"/>
      <c r="G221" s="46"/>
      <c r="H221" s="46"/>
      <c r="I221" s="46"/>
      <c r="J221" s="46"/>
      <c r="K221" s="46"/>
      <c r="L221" s="46"/>
      <c r="M221" s="46"/>
      <c r="N221" s="46"/>
      <c r="O221" s="46"/>
      <c r="P221" s="13"/>
    </row>
    <row r="222" spans="1:16" s="14" customFormat="1">
      <c r="A222" s="15"/>
      <c r="B222" s="15"/>
      <c r="C222" s="46"/>
      <c r="D222" s="46"/>
      <c r="E222" s="46"/>
      <c r="F222" s="46"/>
      <c r="G222" s="46"/>
      <c r="H222" s="46"/>
      <c r="I222" s="46"/>
      <c r="J222" s="46"/>
      <c r="K222" s="46"/>
      <c r="L222" s="46"/>
      <c r="M222" s="46"/>
      <c r="N222" s="46"/>
      <c r="O222" s="46"/>
      <c r="P222" s="13"/>
    </row>
    <row r="223" spans="1:16" s="14" customFormat="1">
      <c r="A223" s="15"/>
      <c r="B223" s="15"/>
      <c r="C223" s="46"/>
      <c r="D223" s="46"/>
      <c r="E223" s="46"/>
      <c r="F223" s="46"/>
      <c r="G223" s="46"/>
      <c r="H223" s="46"/>
      <c r="I223" s="46"/>
      <c r="J223" s="46"/>
      <c r="K223" s="46"/>
      <c r="L223" s="46"/>
      <c r="M223" s="46"/>
      <c r="N223" s="46"/>
      <c r="O223" s="46"/>
      <c r="P223" s="13"/>
    </row>
    <row r="224" spans="1:16" s="14" customFormat="1">
      <c r="A224" s="15"/>
      <c r="B224" s="15"/>
      <c r="C224" s="46"/>
      <c r="D224" s="46"/>
      <c r="E224" s="46"/>
      <c r="F224" s="46"/>
      <c r="G224" s="46"/>
      <c r="H224" s="46"/>
      <c r="I224" s="46"/>
      <c r="J224" s="46"/>
      <c r="K224" s="46"/>
      <c r="L224" s="46"/>
      <c r="M224" s="46"/>
      <c r="N224" s="46"/>
      <c r="O224" s="46"/>
      <c r="P224" s="13"/>
    </row>
    <row r="225" spans="1:16" s="14" customFormat="1">
      <c r="A225" s="15"/>
      <c r="B225" s="15"/>
      <c r="C225" s="46"/>
      <c r="D225" s="46"/>
      <c r="E225" s="46"/>
      <c r="F225" s="46"/>
      <c r="G225" s="46"/>
      <c r="H225" s="46"/>
      <c r="I225" s="46"/>
      <c r="J225" s="46"/>
      <c r="K225" s="46"/>
      <c r="L225" s="46"/>
      <c r="M225" s="46"/>
      <c r="N225" s="46"/>
      <c r="O225" s="46"/>
      <c r="P225" s="13"/>
    </row>
    <row r="226" spans="1:16" s="14" customFormat="1">
      <c r="A226" s="15"/>
      <c r="B226" s="15"/>
      <c r="C226" s="46"/>
      <c r="D226" s="46"/>
      <c r="E226" s="46"/>
      <c r="F226" s="46"/>
      <c r="G226" s="46"/>
      <c r="H226" s="46"/>
      <c r="I226" s="46"/>
      <c r="J226" s="46"/>
      <c r="K226" s="46"/>
      <c r="L226" s="46"/>
      <c r="M226" s="46"/>
      <c r="N226" s="46"/>
      <c r="O226" s="46"/>
      <c r="P226" s="13"/>
    </row>
    <row r="227" spans="1:16" s="14" customFormat="1">
      <c r="A227" s="15"/>
      <c r="B227" s="15"/>
      <c r="C227" s="46"/>
      <c r="D227" s="46"/>
      <c r="E227" s="46"/>
      <c r="F227" s="46"/>
      <c r="G227" s="46"/>
      <c r="H227" s="46"/>
      <c r="I227" s="46"/>
      <c r="J227" s="46"/>
      <c r="K227" s="46"/>
      <c r="L227" s="46"/>
      <c r="M227" s="46"/>
      <c r="N227" s="46"/>
      <c r="O227" s="46"/>
      <c r="P227" s="13"/>
    </row>
    <row r="228" spans="1:16" s="14" customFormat="1">
      <c r="A228" s="15"/>
      <c r="B228" s="15"/>
      <c r="C228" s="46"/>
      <c r="D228" s="46"/>
      <c r="E228" s="46"/>
      <c r="F228" s="46"/>
      <c r="G228" s="46"/>
      <c r="H228" s="46"/>
      <c r="I228" s="46"/>
      <c r="J228" s="46"/>
      <c r="K228" s="46"/>
      <c r="L228" s="46"/>
      <c r="M228" s="46"/>
      <c r="N228" s="46"/>
      <c r="O228" s="46"/>
      <c r="P228" s="13"/>
    </row>
    <row r="229" spans="1:16" s="14" customFormat="1">
      <c r="A229" s="15"/>
      <c r="B229" s="15"/>
      <c r="C229" s="46"/>
      <c r="D229" s="46"/>
      <c r="E229" s="46"/>
      <c r="F229" s="46"/>
      <c r="G229" s="46"/>
      <c r="H229" s="46"/>
      <c r="I229" s="46"/>
      <c r="J229" s="46"/>
      <c r="K229" s="46"/>
      <c r="L229" s="46"/>
      <c r="M229" s="46"/>
      <c r="N229" s="46"/>
      <c r="O229" s="46"/>
      <c r="P229" s="13"/>
    </row>
  </sheetData>
  <conditionalFormatting sqref="C5:O9 C11:O11">
    <cfRule type="expression" dxfId="41" priority="46" stopIfTrue="1">
      <formula>ISBLANK(C5)</formula>
    </cfRule>
  </conditionalFormatting>
  <conditionalFormatting sqref="C13:O15">
    <cfRule type="expression" dxfId="40" priority="36" stopIfTrue="1">
      <formula>ISBLANK(C13)</formula>
    </cfRule>
  </conditionalFormatting>
  <conditionalFormatting sqref="C17:O20">
    <cfRule type="expression" dxfId="39" priority="26" stopIfTrue="1">
      <formula>ISBLANK(C17)</formula>
    </cfRule>
  </conditionalFormatting>
  <conditionalFormatting sqref="C22:O22">
    <cfRule type="expression" dxfId="38" priority="16" stopIfTrue="1">
      <formula>ISBLANK(C22)</formula>
    </cfRule>
  </conditionalFormatting>
  <conditionalFormatting sqref="C24:O26">
    <cfRule type="expression" dxfId="37" priority="11" stopIfTrue="1">
      <formula>ISBLANK(C24)</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0" stopIfTrue="1" id="{550D9C63-82E3-AA4D-B4DB-E01CAAE16D9E}">
            <xm:f>C5&lt;(Uitleg!$C$29*C61)</xm:f>
            <x14:dxf>
              <font>
                <color rgb="FF9C0006"/>
              </font>
              <fill>
                <patternFill>
                  <bgColor rgb="FFFFC7CE"/>
                </patternFill>
              </fill>
            </x14:dxf>
          </x14:cfRule>
          <x14:cfRule type="expression" priority="49" stopIfTrue="1" id="{C2E684BE-299B-8B43-B4EA-45642744D4CA}">
            <xm:f>C5&gt;=(Uitleg!$C$28*C61)</xm:f>
            <x14:dxf>
              <font>
                <color rgb="FF9C5700"/>
              </font>
              <fill>
                <patternFill>
                  <bgColor rgb="FFFFEB9C"/>
                </patternFill>
              </fill>
            </x14:dxf>
          </x14:cfRule>
          <x14:cfRule type="expression" priority="48" stopIfTrue="1" id="{FF079907-4927-D945-9BC5-CAD1349547DC}">
            <xm:f>C5&gt;=(Uitleg!$C$27*C61)</xm:f>
            <x14:dxf>
              <font>
                <color rgb="FF006100"/>
              </font>
              <fill>
                <patternFill>
                  <bgColor rgb="FFC6EFCE"/>
                </patternFill>
              </fill>
            </x14:dxf>
          </x14:cfRule>
          <x14:cfRule type="expression" priority="47" stopIfTrue="1" id="{44D514E5-4DB0-BA4F-A861-839D2C63A05C}">
            <xm:f>C5&gt;=(Uitleg!$C$26*C61)</xm:f>
            <x14:dxf>
              <font>
                <color theme="0"/>
              </font>
              <fill>
                <patternFill>
                  <bgColor theme="7" tint="-0.24994659260841701"/>
                </patternFill>
              </fill>
            </x14:dxf>
          </x14:cfRule>
          <xm:sqref>C5:O9 C11:O11</xm:sqref>
        </x14:conditionalFormatting>
        <x14:conditionalFormatting xmlns:xm="http://schemas.microsoft.com/office/excel/2006/main">
          <x14:cfRule type="expression" priority="37" stopIfTrue="1" id="{11BF9D9D-05BA-4342-BB2F-41455A5F53A7}">
            <xm:f>C13&gt;=(Uitleg!$C$26*C70)</xm:f>
            <x14:dxf>
              <font>
                <color theme="0"/>
              </font>
              <fill>
                <patternFill>
                  <bgColor theme="7" tint="-0.24994659260841701"/>
                </patternFill>
              </fill>
            </x14:dxf>
          </x14:cfRule>
          <x14:cfRule type="expression" priority="38" stopIfTrue="1" id="{4E0ED364-AADA-5B4D-9607-ED3B06F4304D}">
            <xm:f>C13&gt;=(Uitleg!$C$27*C70)</xm:f>
            <x14:dxf>
              <font>
                <color rgb="FF006100"/>
              </font>
              <fill>
                <patternFill>
                  <bgColor rgb="FFC6EFCE"/>
                </patternFill>
              </fill>
            </x14:dxf>
          </x14:cfRule>
          <x14:cfRule type="expression" priority="39" stopIfTrue="1" id="{65CD3AB1-D713-4143-97CF-D5C9F6852894}">
            <xm:f>C13&gt;=(Uitleg!$C$28*C70)</xm:f>
            <x14:dxf>
              <font>
                <color rgb="FF9C5700"/>
              </font>
              <fill>
                <patternFill>
                  <bgColor rgb="FFFFEB9C"/>
                </patternFill>
              </fill>
            </x14:dxf>
          </x14:cfRule>
          <x14:cfRule type="expression" priority="40" stopIfTrue="1" id="{79967E6B-E342-A344-95DC-EBBDF952EC23}">
            <xm:f>C13&lt;(Uitleg!$C$29*C70)</xm:f>
            <x14:dxf>
              <font>
                <color rgb="FF9C0006"/>
              </font>
              <fill>
                <patternFill>
                  <bgColor rgb="FFFFC7CE"/>
                </patternFill>
              </fill>
            </x14:dxf>
          </x14:cfRule>
          <xm:sqref>C13:O15</xm:sqref>
        </x14:conditionalFormatting>
        <x14:conditionalFormatting xmlns:xm="http://schemas.microsoft.com/office/excel/2006/main">
          <x14:cfRule type="expression" priority="27" stopIfTrue="1" id="{12C55A3E-F8DC-B248-A66A-B54CB67C80A3}">
            <xm:f>C17&gt;=(Uitleg!$C$26*C78)</xm:f>
            <x14:dxf>
              <font>
                <color theme="0"/>
              </font>
              <fill>
                <patternFill>
                  <bgColor theme="7" tint="-0.24994659260841701"/>
                </patternFill>
              </fill>
            </x14:dxf>
          </x14:cfRule>
          <x14:cfRule type="expression" priority="28" stopIfTrue="1" id="{3CB4DD35-36A7-C84E-A67D-B20A07933281}">
            <xm:f>C17&gt;=(Uitleg!$C$27*C78)</xm:f>
            <x14:dxf>
              <font>
                <color rgb="FF006100"/>
              </font>
              <fill>
                <patternFill>
                  <bgColor rgb="FFC6EFCE"/>
                </patternFill>
              </fill>
            </x14:dxf>
          </x14:cfRule>
          <x14:cfRule type="expression" priority="29" stopIfTrue="1" id="{06DC1BEA-7317-0049-B9B2-49F8CC227830}">
            <xm:f>C17&gt;=(Uitleg!$C$28*C78)</xm:f>
            <x14:dxf>
              <font>
                <color rgb="FF9C5700"/>
              </font>
              <fill>
                <patternFill>
                  <bgColor rgb="FFFFEB9C"/>
                </patternFill>
              </fill>
            </x14:dxf>
          </x14:cfRule>
          <x14:cfRule type="expression" priority="30" stopIfTrue="1" id="{09C557C4-2A9A-D54E-904A-CEE83921A381}">
            <xm:f>C17&lt;(Uitleg!$C$29*C78)</xm:f>
            <x14:dxf>
              <font>
                <color rgb="FF9C0006"/>
              </font>
              <fill>
                <patternFill>
                  <bgColor rgb="FFFFC7CE"/>
                </patternFill>
              </fill>
            </x14:dxf>
          </x14:cfRule>
          <xm:sqref>C17:O20</xm:sqref>
        </x14:conditionalFormatting>
        <x14:conditionalFormatting xmlns:xm="http://schemas.microsoft.com/office/excel/2006/main">
          <x14:cfRule type="expression" priority="17" stopIfTrue="1" id="{619468BB-1BB8-7E42-ADE7-38F47EC75D7E}">
            <xm:f>C22&gt;=(Uitleg!$C$26*C86)</xm:f>
            <x14:dxf>
              <font>
                <color theme="0"/>
              </font>
              <fill>
                <patternFill>
                  <bgColor theme="7" tint="-0.24994659260841701"/>
                </patternFill>
              </fill>
            </x14:dxf>
          </x14:cfRule>
          <x14:cfRule type="expression" priority="18" stopIfTrue="1" id="{8FDD1D3A-6F7B-1847-A2B9-C71DC1F21125}">
            <xm:f>C22&gt;=(Uitleg!$C$27*C86)</xm:f>
            <x14:dxf>
              <font>
                <color rgb="FF006100"/>
              </font>
              <fill>
                <patternFill>
                  <bgColor rgb="FFC6EFCE"/>
                </patternFill>
              </fill>
            </x14:dxf>
          </x14:cfRule>
          <x14:cfRule type="expression" priority="19" stopIfTrue="1" id="{2E950C67-37D3-CE41-BEC7-7AEF2FFE8D45}">
            <xm:f>C22&gt;=(Uitleg!$C$28*C86)</xm:f>
            <x14:dxf>
              <font>
                <color rgb="FF9C5700"/>
              </font>
              <fill>
                <patternFill>
                  <bgColor rgb="FFFFEB9C"/>
                </patternFill>
              </fill>
            </x14:dxf>
          </x14:cfRule>
          <x14:cfRule type="expression" priority="20" stopIfTrue="1" id="{9B1A650B-BD72-3244-A9CF-3534BA583267}">
            <xm:f>C22&lt;(Uitleg!$C$29*C86)</xm:f>
            <x14:dxf>
              <font>
                <color rgb="FF9C0006"/>
              </font>
              <fill>
                <patternFill>
                  <bgColor rgb="FFFFC7CE"/>
                </patternFill>
              </fill>
            </x14:dxf>
          </x14:cfRule>
          <xm:sqref>C22:O22</xm:sqref>
        </x14:conditionalFormatting>
        <x14:conditionalFormatting xmlns:xm="http://schemas.microsoft.com/office/excel/2006/main">
          <x14:cfRule type="expression" priority="15" stopIfTrue="1" id="{4066B5C4-4856-8F43-9402-A3B16A018F97}">
            <xm:f>C24&lt;(Uitleg!$C$29*C90)</xm:f>
            <x14:dxf>
              <font>
                <color rgb="FF9C0006"/>
              </font>
              <fill>
                <patternFill>
                  <bgColor rgb="FFFFC7CE"/>
                </patternFill>
              </fill>
            </x14:dxf>
          </x14:cfRule>
          <x14:cfRule type="expression" priority="14" stopIfTrue="1" id="{E2F8B65F-7F08-E940-BEDC-F5F7B9B83141}">
            <xm:f>C24&gt;=(Uitleg!$C$28*C90)</xm:f>
            <x14:dxf>
              <font>
                <color rgb="FF9C5700"/>
              </font>
              <fill>
                <patternFill>
                  <bgColor rgb="FFFFEB9C"/>
                </patternFill>
              </fill>
            </x14:dxf>
          </x14:cfRule>
          <x14:cfRule type="expression" priority="13" stopIfTrue="1" id="{FB09F40A-18A2-344F-8E34-425C74611CD8}">
            <xm:f>C24&gt;=(Uitleg!$C$27*C90)</xm:f>
            <x14:dxf>
              <font>
                <color rgb="FF006100"/>
              </font>
              <fill>
                <patternFill>
                  <bgColor rgb="FFC6EFCE"/>
                </patternFill>
              </fill>
            </x14:dxf>
          </x14:cfRule>
          <x14:cfRule type="expression" priority="12" stopIfTrue="1" id="{DB65658C-C779-0C43-AE5B-12EA930373C9}">
            <xm:f>C24&gt;=(Uitleg!$C$26*C90)</xm:f>
            <x14:dxf>
              <font>
                <color theme="0"/>
              </font>
              <fill>
                <patternFill>
                  <bgColor theme="7" tint="-0.24994659260841701"/>
                </patternFill>
              </fill>
            </x14:dxf>
          </x14:cfRule>
          <xm:sqref>C24:O26</xm:sqref>
        </x14:conditionalFormatting>
        <x14:conditionalFormatting xmlns:xm="http://schemas.microsoft.com/office/excel/2006/main">
          <x14:cfRule type="expression" priority="88" id="{F38BE316-37A0-F843-A475-164C1786F8A8}">
            <xm:f>P5&gt;(Uitleg!$C$26*P61)</xm:f>
            <x14:dxf>
              <font>
                <color theme="0"/>
              </font>
              <fill>
                <patternFill>
                  <bgColor theme="7" tint="-0.24994659260841701"/>
                </patternFill>
              </fill>
            </x14:dxf>
          </x14:cfRule>
          <x14:cfRule type="expression" priority="89" stopIfTrue="1" id="{D9B327FC-D76B-9C4E-9447-6566A5A8F030}">
            <xm:f>P5&gt;(Uitleg!$C$27*P61)</xm:f>
            <x14:dxf>
              <font>
                <color rgb="FF006100"/>
              </font>
              <fill>
                <patternFill>
                  <bgColor rgb="FFC6EFCE"/>
                </patternFill>
              </fill>
            </x14:dxf>
          </x14:cfRule>
          <x14:cfRule type="expression" priority="90" stopIfTrue="1" id="{22FD0D3B-10E2-6E40-8DCF-15F5BAE3D30E}">
            <xm:f>P5&gt;(Uitleg!$C$28*P61)</xm:f>
            <x14:dxf>
              <font>
                <color rgb="FF9C5700"/>
              </font>
              <fill>
                <patternFill>
                  <bgColor rgb="FFFFEB9C"/>
                </patternFill>
              </fill>
            </x14:dxf>
          </x14:cfRule>
          <x14:cfRule type="expression" priority="91" stopIfTrue="1" id="{D7E1BC85-3D27-2B48-88A3-07A40E300389}">
            <xm:f>P5&lt;(Uitleg!$C$29*P61)</xm:f>
            <x14:dxf>
              <font>
                <color rgb="FF9C0006"/>
              </font>
              <fill>
                <patternFill>
                  <bgColor rgb="FFFFC7CE"/>
                </patternFill>
              </fill>
            </x14:dxf>
          </x14:cfRule>
          <xm:sqref>P5:P9 P11</xm:sqref>
        </x14:conditionalFormatting>
        <x14:conditionalFormatting xmlns:xm="http://schemas.microsoft.com/office/excel/2006/main">
          <x14:cfRule type="expression" priority="80" id="{A0BDA341-3124-9240-A1A0-793AAA352AC9}">
            <xm:f>P13&gt;(Uitleg!$C$26*P70)</xm:f>
            <x14:dxf>
              <font>
                <color theme="0"/>
              </font>
              <fill>
                <patternFill>
                  <bgColor theme="7" tint="-0.24994659260841701"/>
                </patternFill>
              </fill>
            </x14:dxf>
          </x14:cfRule>
          <x14:cfRule type="expression" priority="81" stopIfTrue="1" id="{A155C396-AA78-F147-8F5F-EBC0741B63A6}">
            <xm:f>P13&gt;(Uitleg!$C$27*P70)</xm:f>
            <x14:dxf>
              <font>
                <color rgb="FF006100"/>
              </font>
              <fill>
                <patternFill>
                  <bgColor rgb="FFC6EFCE"/>
                </patternFill>
              </fill>
            </x14:dxf>
          </x14:cfRule>
          <x14:cfRule type="expression" priority="82" stopIfTrue="1" id="{249C75C9-D438-8A4A-BCC5-C718D340BD87}">
            <xm:f>P13&gt;(Uitleg!$C$28*P70)</xm:f>
            <x14:dxf>
              <font>
                <color rgb="FF9C5700"/>
              </font>
              <fill>
                <patternFill>
                  <bgColor rgb="FFFFEB9C"/>
                </patternFill>
              </fill>
            </x14:dxf>
          </x14:cfRule>
          <x14:cfRule type="expression" priority="83" stopIfTrue="1" id="{45DA8379-A99B-7740-95CD-A637D3EEFF17}">
            <xm:f>P13&lt;(Uitleg!$C$29*P70)</xm:f>
            <x14:dxf>
              <font>
                <color rgb="FF9C0006"/>
              </font>
              <fill>
                <patternFill>
                  <bgColor rgb="FFFFC7CE"/>
                </patternFill>
              </fill>
            </x14:dxf>
          </x14:cfRule>
          <xm:sqref>P13:P15</xm:sqref>
        </x14:conditionalFormatting>
        <x14:conditionalFormatting xmlns:xm="http://schemas.microsoft.com/office/excel/2006/main">
          <x14:cfRule type="expression" priority="72" id="{B4F47F25-AED3-9345-9E15-CF5412667826}">
            <xm:f>P17&gt;(Uitleg!$C$26*P78)</xm:f>
            <x14:dxf>
              <font>
                <color theme="0"/>
              </font>
              <fill>
                <patternFill>
                  <bgColor theme="7" tint="-0.24994659260841701"/>
                </patternFill>
              </fill>
            </x14:dxf>
          </x14:cfRule>
          <x14:cfRule type="expression" priority="73" stopIfTrue="1" id="{AE70937C-FE5F-B941-A7D6-6CF640B060B5}">
            <xm:f>P17&gt;(Uitleg!$C$27*P78)</xm:f>
            <x14:dxf>
              <font>
                <color rgb="FF006100"/>
              </font>
              <fill>
                <patternFill>
                  <bgColor rgb="FFC6EFCE"/>
                </patternFill>
              </fill>
            </x14:dxf>
          </x14:cfRule>
          <x14:cfRule type="expression" priority="74" stopIfTrue="1" id="{57B281F5-C51B-8345-8C34-4022DE1DA914}">
            <xm:f>P17&gt;(Uitleg!$C$28*P78)</xm:f>
            <x14:dxf>
              <font>
                <color rgb="FF9C5700"/>
              </font>
              <fill>
                <patternFill>
                  <bgColor rgb="FFFFEB9C"/>
                </patternFill>
              </fill>
            </x14:dxf>
          </x14:cfRule>
          <x14:cfRule type="expression" priority="75" stopIfTrue="1" id="{17969171-2DFF-4E48-94A8-7CF8B6DCA88B}">
            <xm:f>P17&lt;(Uitleg!$C$29*P78)</xm:f>
            <x14:dxf>
              <font>
                <color rgb="FF9C0006"/>
              </font>
              <fill>
                <patternFill>
                  <bgColor rgb="FFFFC7CE"/>
                </patternFill>
              </fill>
            </x14:dxf>
          </x14:cfRule>
          <xm:sqref>P17:P20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DB9B7-B268-43E2-957F-3290D248F1EC}">
  <dimension ref="A1:EP40"/>
  <sheetViews>
    <sheetView zoomScale="115" zoomScaleNormal="115" workbookViewId="0">
      <pane xSplit="1" topLeftCell="DG1" activePane="topRight" state="frozen"/>
      <selection pane="topRight" activeCell="DM10" sqref="DM10"/>
    </sheetView>
  </sheetViews>
  <sheetFormatPr defaultColWidth="8.85546875" defaultRowHeight="12.75" customHeight="1"/>
  <cols>
    <col min="1" max="1" width="26.42578125" customWidth="1"/>
    <col min="2" max="2" width="13" customWidth="1"/>
    <col min="3" max="3" width="11.42578125" customWidth="1"/>
    <col min="4" max="4" width="11" customWidth="1"/>
    <col min="5" max="5" width="7.140625" customWidth="1"/>
    <col min="6" max="6" width="8.42578125" customWidth="1"/>
    <col min="7" max="7" width="9.85546875" customWidth="1"/>
    <col min="9" max="9" width="9.42578125" customWidth="1"/>
    <col min="12" max="21" width="9.85546875" customWidth="1"/>
    <col min="22" max="22" width="16.140625" customWidth="1"/>
    <col min="23" max="26" width="9.85546875" customWidth="1"/>
    <col min="27" max="27" width="16.140625" customWidth="1"/>
    <col min="28" max="31" width="9.85546875" customWidth="1"/>
    <col min="32" max="32" width="16.140625" customWidth="1"/>
    <col min="33" max="36" width="9.85546875" customWidth="1"/>
    <col min="37" max="37" width="16.140625" customWidth="1"/>
    <col min="38" max="41" width="9.85546875" customWidth="1"/>
    <col min="42" max="42" width="8.85546875" customWidth="1"/>
    <col min="43" max="46" width="9.85546875" customWidth="1"/>
    <col min="47" max="47" width="8.140625" customWidth="1"/>
    <col min="48" max="51" width="9.85546875" customWidth="1"/>
    <col min="52" max="52" width="16.140625" bestFit="1" customWidth="1"/>
    <col min="53" max="66" width="9.85546875" customWidth="1"/>
    <col min="69" max="69" width="8.85546875" customWidth="1"/>
    <col min="74" max="74" width="9.42578125" customWidth="1"/>
    <col min="104" max="104" width="9.42578125" customWidth="1"/>
  </cols>
  <sheetData>
    <row r="1" spans="1:146" ht="20.100000000000001">
      <c r="A1" s="117" t="s">
        <v>160</v>
      </c>
    </row>
    <row r="2" spans="1:146" s="118" customFormat="1" ht="12.95">
      <c r="C2" s="118" t="s">
        <v>54</v>
      </c>
      <c r="H2" s="118" t="s">
        <v>55</v>
      </c>
      <c r="M2" s="118" t="s">
        <v>56</v>
      </c>
      <c r="R2" s="118" t="s">
        <v>57</v>
      </c>
      <c r="W2" s="118" t="s">
        <v>58</v>
      </c>
      <c r="AB2" s="118" t="s">
        <v>59</v>
      </c>
      <c r="AG2" s="118" t="s">
        <v>60</v>
      </c>
      <c r="AL2" s="118" t="s">
        <v>61</v>
      </c>
      <c r="AQ2" s="118" t="s">
        <v>62</v>
      </c>
      <c r="AV2" s="118" t="s">
        <v>63</v>
      </c>
      <c r="BA2" s="118" t="s">
        <v>64</v>
      </c>
      <c r="BF2" s="118" t="s">
        <v>65</v>
      </c>
      <c r="BK2" s="118" t="s">
        <v>66</v>
      </c>
      <c r="BP2" s="118" t="s">
        <v>67</v>
      </c>
      <c r="BU2" s="118" t="s">
        <v>68</v>
      </c>
      <c r="BZ2" s="118" t="s">
        <v>69</v>
      </c>
      <c r="CE2" s="118" t="s">
        <v>70</v>
      </c>
      <c r="CJ2" s="118" t="s">
        <v>71</v>
      </c>
      <c r="CO2" s="118" t="s">
        <v>72</v>
      </c>
      <c r="CT2" s="118" t="s">
        <v>73</v>
      </c>
      <c r="CY2" s="118" t="s">
        <v>74</v>
      </c>
      <c r="DD2" s="118" t="s">
        <v>75</v>
      </c>
      <c r="DI2" s="118" t="s">
        <v>76</v>
      </c>
      <c r="DN2" s="118" t="s">
        <v>77</v>
      </c>
      <c r="DP2" s="118" t="s">
        <v>78</v>
      </c>
      <c r="DR2" s="118" t="s">
        <v>79</v>
      </c>
      <c r="DT2" s="118" t="s">
        <v>80</v>
      </c>
      <c r="DV2" s="118" t="s">
        <v>81</v>
      </c>
      <c r="DX2" s="118" t="s">
        <v>82</v>
      </c>
      <c r="DZ2" s="118" t="s">
        <v>83</v>
      </c>
      <c r="EB2" s="118" t="s">
        <v>84</v>
      </c>
      <c r="ED2" s="118" t="s">
        <v>85</v>
      </c>
      <c r="EF2" s="118" t="s">
        <v>86</v>
      </c>
      <c r="EH2" s="118" t="s">
        <v>87</v>
      </c>
      <c r="EI2" s="118" t="s">
        <v>88</v>
      </c>
      <c r="EK2" s="118" t="s">
        <v>89</v>
      </c>
      <c r="EM2" s="118" t="s">
        <v>90</v>
      </c>
      <c r="EO2" s="118" t="s">
        <v>161</v>
      </c>
    </row>
    <row r="3" spans="1:146" ht="50.25" customHeight="1">
      <c r="A3" s="119" t="s">
        <v>162</v>
      </c>
      <c r="B3" s="120" t="s">
        <v>163</v>
      </c>
      <c r="C3" s="121" t="s">
        <v>164</v>
      </c>
      <c r="D3" s="163" t="s">
        <v>165</v>
      </c>
      <c r="E3" s="163" t="s">
        <v>166</v>
      </c>
      <c r="F3" s="163" t="s">
        <v>167</v>
      </c>
      <c r="G3" s="122" t="s">
        <v>168</v>
      </c>
      <c r="H3" s="121" t="s">
        <v>164</v>
      </c>
      <c r="I3" s="163" t="s">
        <v>165</v>
      </c>
      <c r="J3" s="163" t="s">
        <v>166</v>
      </c>
      <c r="K3" s="163" t="s">
        <v>167</v>
      </c>
      <c r="L3" s="122" t="s">
        <v>168</v>
      </c>
      <c r="M3" s="121" t="s">
        <v>164</v>
      </c>
      <c r="N3" s="163" t="s">
        <v>165</v>
      </c>
      <c r="O3" s="163" t="s">
        <v>166</v>
      </c>
      <c r="P3" s="163" t="s">
        <v>167</v>
      </c>
      <c r="Q3" s="122" t="s">
        <v>168</v>
      </c>
      <c r="R3" s="121" t="s">
        <v>164</v>
      </c>
      <c r="S3" s="163" t="s">
        <v>165</v>
      </c>
      <c r="T3" s="163" t="s">
        <v>166</v>
      </c>
      <c r="U3" s="163" t="s">
        <v>167</v>
      </c>
      <c r="V3" s="122" t="s">
        <v>168</v>
      </c>
      <c r="W3" s="121" t="s">
        <v>164</v>
      </c>
      <c r="X3" s="163" t="s">
        <v>165</v>
      </c>
      <c r="Y3" s="163" t="s">
        <v>166</v>
      </c>
      <c r="Z3" s="163" t="s">
        <v>167</v>
      </c>
      <c r="AA3" s="122" t="s">
        <v>168</v>
      </c>
      <c r="AB3" s="121" t="s">
        <v>164</v>
      </c>
      <c r="AC3" s="163" t="s">
        <v>165</v>
      </c>
      <c r="AD3" s="163" t="s">
        <v>166</v>
      </c>
      <c r="AE3" s="163" t="s">
        <v>167</v>
      </c>
      <c r="AF3" s="122" t="s">
        <v>168</v>
      </c>
      <c r="AG3" s="121" t="s">
        <v>164</v>
      </c>
      <c r="AH3" s="163" t="s">
        <v>165</v>
      </c>
      <c r="AI3" s="163" t="s">
        <v>166</v>
      </c>
      <c r="AJ3" s="163" t="s">
        <v>167</v>
      </c>
      <c r="AK3" s="122" t="s">
        <v>168</v>
      </c>
      <c r="AL3" s="121" t="s">
        <v>164</v>
      </c>
      <c r="AM3" s="163" t="s">
        <v>165</v>
      </c>
      <c r="AN3" s="163" t="s">
        <v>166</v>
      </c>
      <c r="AO3" s="163" t="s">
        <v>167</v>
      </c>
      <c r="AP3" s="122" t="s">
        <v>168</v>
      </c>
      <c r="AQ3" s="121" t="s">
        <v>164</v>
      </c>
      <c r="AR3" s="163" t="s">
        <v>165</v>
      </c>
      <c r="AS3" s="163" t="s">
        <v>166</v>
      </c>
      <c r="AT3" s="163" t="s">
        <v>167</v>
      </c>
      <c r="AU3" s="122" t="s">
        <v>168</v>
      </c>
      <c r="AV3" s="121" t="s">
        <v>164</v>
      </c>
      <c r="AW3" s="163" t="s">
        <v>165</v>
      </c>
      <c r="AX3" s="163" t="s">
        <v>166</v>
      </c>
      <c r="AY3" s="163" t="s">
        <v>167</v>
      </c>
      <c r="AZ3" s="122" t="s">
        <v>168</v>
      </c>
      <c r="BA3" s="121" t="s">
        <v>164</v>
      </c>
      <c r="BB3" s="163" t="s">
        <v>165</v>
      </c>
      <c r="BC3" s="163" t="s">
        <v>166</v>
      </c>
      <c r="BD3" s="163" t="s">
        <v>167</v>
      </c>
      <c r="BE3" s="122" t="s">
        <v>168</v>
      </c>
      <c r="BF3" s="121" t="s">
        <v>164</v>
      </c>
      <c r="BG3" s="163" t="s">
        <v>165</v>
      </c>
      <c r="BH3" s="163" t="s">
        <v>166</v>
      </c>
      <c r="BI3" s="163" t="s">
        <v>167</v>
      </c>
      <c r="BJ3" s="122" t="s">
        <v>168</v>
      </c>
      <c r="BK3" s="121" t="s">
        <v>164</v>
      </c>
      <c r="BL3" s="163" t="s">
        <v>165</v>
      </c>
      <c r="BM3" s="163" t="s">
        <v>166</v>
      </c>
      <c r="BN3" s="163" t="s">
        <v>167</v>
      </c>
      <c r="BO3" s="122" t="s">
        <v>168</v>
      </c>
      <c r="BP3" s="121" t="s">
        <v>164</v>
      </c>
      <c r="BQ3" s="163" t="s">
        <v>165</v>
      </c>
      <c r="BR3" s="163" t="s">
        <v>166</v>
      </c>
      <c r="BS3" s="163" t="s">
        <v>167</v>
      </c>
      <c r="BT3" s="122" t="s">
        <v>168</v>
      </c>
      <c r="BU3" s="121" t="s">
        <v>164</v>
      </c>
      <c r="BV3" s="163" t="s">
        <v>165</v>
      </c>
      <c r="BW3" s="163" t="s">
        <v>166</v>
      </c>
      <c r="BX3" s="163" t="s">
        <v>167</v>
      </c>
      <c r="BY3" s="122" t="s">
        <v>168</v>
      </c>
      <c r="BZ3" s="121" t="s">
        <v>164</v>
      </c>
      <c r="CA3" s="163" t="s">
        <v>165</v>
      </c>
      <c r="CB3" s="163" t="s">
        <v>166</v>
      </c>
      <c r="CC3" s="163" t="s">
        <v>167</v>
      </c>
      <c r="CD3" s="122" t="s">
        <v>168</v>
      </c>
      <c r="CE3" s="121" t="s">
        <v>164</v>
      </c>
      <c r="CF3" s="163" t="s">
        <v>165</v>
      </c>
      <c r="CG3" s="163" t="s">
        <v>166</v>
      </c>
      <c r="CH3" s="163" t="s">
        <v>167</v>
      </c>
      <c r="CI3" s="122" t="s">
        <v>168</v>
      </c>
      <c r="CJ3" s="121" t="s">
        <v>164</v>
      </c>
      <c r="CK3" s="163" t="s">
        <v>165</v>
      </c>
      <c r="CL3" s="163" t="s">
        <v>166</v>
      </c>
      <c r="CM3" s="163" t="s">
        <v>167</v>
      </c>
      <c r="CN3" s="122" t="s">
        <v>168</v>
      </c>
      <c r="CO3" s="121" t="s">
        <v>164</v>
      </c>
      <c r="CP3" s="163" t="s">
        <v>165</v>
      </c>
      <c r="CQ3" s="163" t="s">
        <v>166</v>
      </c>
      <c r="CR3" s="163" t="s">
        <v>167</v>
      </c>
      <c r="CS3" s="122" t="s">
        <v>168</v>
      </c>
      <c r="CT3" s="121" t="s">
        <v>164</v>
      </c>
      <c r="CU3" s="163" t="s">
        <v>165</v>
      </c>
      <c r="CV3" s="163" t="s">
        <v>166</v>
      </c>
      <c r="CW3" s="163" t="s">
        <v>167</v>
      </c>
      <c r="CX3" s="122" t="s">
        <v>168</v>
      </c>
      <c r="CY3" s="121" t="s">
        <v>164</v>
      </c>
      <c r="CZ3" s="163" t="s">
        <v>165</v>
      </c>
      <c r="DA3" s="163" t="s">
        <v>166</v>
      </c>
      <c r="DB3" s="163" t="s">
        <v>167</v>
      </c>
      <c r="DC3" s="122" t="s">
        <v>168</v>
      </c>
      <c r="DD3" s="121" t="s">
        <v>164</v>
      </c>
      <c r="DE3" s="163" t="s">
        <v>165</v>
      </c>
      <c r="DF3" s="163" t="s">
        <v>166</v>
      </c>
      <c r="DG3" s="163" t="s">
        <v>167</v>
      </c>
      <c r="DH3" s="122" t="s">
        <v>168</v>
      </c>
      <c r="DI3" s="121" t="s">
        <v>164</v>
      </c>
      <c r="DJ3" s="163" t="s">
        <v>165</v>
      </c>
      <c r="DK3" s="163" t="s">
        <v>166</v>
      </c>
      <c r="DL3" s="163" t="s">
        <v>167</v>
      </c>
      <c r="DM3" s="122" t="s">
        <v>168</v>
      </c>
      <c r="DN3" s="121" t="s">
        <v>164</v>
      </c>
      <c r="DO3" s="122" t="s">
        <v>168</v>
      </c>
      <c r="DP3" s="121" t="s">
        <v>164</v>
      </c>
      <c r="DQ3" s="122" t="s">
        <v>168</v>
      </c>
      <c r="DR3" s="121" t="s">
        <v>164</v>
      </c>
      <c r="DS3" s="122" t="s">
        <v>168</v>
      </c>
      <c r="DT3" s="121" t="s">
        <v>164</v>
      </c>
      <c r="DU3" s="122" t="s">
        <v>168</v>
      </c>
      <c r="DV3" s="121" t="s">
        <v>164</v>
      </c>
      <c r="DW3" s="122" t="s">
        <v>168</v>
      </c>
      <c r="DX3" s="121" t="s">
        <v>164</v>
      </c>
      <c r="DY3" s="122" t="s">
        <v>168</v>
      </c>
      <c r="DZ3" s="121" t="s">
        <v>164</v>
      </c>
      <c r="EA3" s="122" t="s">
        <v>168</v>
      </c>
      <c r="EB3" s="121" t="s">
        <v>164</v>
      </c>
      <c r="EC3" s="122" t="s">
        <v>168</v>
      </c>
      <c r="ED3" s="121" t="s">
        <v>164</v>
      </c>
      <c r="EE3" s="122" t="s">
        <v>168</v>
      </c>
      <c r="EF3" s="121" t="s">
        <v>164</v>
      </c>
      <c r="EG3" s="122" t="s">
        <v>168</v>
      </c>
      <c r="EH3" s="121" t="s">
        <v>164</v>
      </c>
      <c r="EI3" s="121" t="s">
        <v>164</v>
      </c>
      <c r="EJ3" s="122" t="s">
        <v>168</v>
      </c>
      <c r="EK3" s="121" t="s">
        <v>164</v>
      </c>
      <c r="EL3" s="122" t="s">
        <v>168</v>
      </c>
      <c r="EM3" s="121" t="s">
        <v>164</v>
      </c>
      <c r="EN3" s="122" t="s">
        <v>168</v>
      </c>
      <c r="EO3" s="121" t="s">
        <v>164</v>
      </c>
      <c r="EP3" s="122" t="s">
        <v>168</v>
      </c>
    </row>
    <row r="4" spans="1:146" s="52" customFormat="1" ht="14.1">
      <c r="A4" s="123" t="s">
        <v>169</v>
      </c>
      <c r="B4" s="124">
        <v>4</v>
      </c>
      <c r="C4" s="125">
        <f t="shared" ref="C4:C14" si="0">B4</f>
        <v>4</v>
      </c>
      <c r="D4" s="164">
        <v>0</v>
      </c>
      <c r="E4" s="164">
        <v>0</v>
      </c>
      <c r="F4" s="164">
        <v>0</v>
      </c>
      <c r="G4" s="126">
        <v>4</v>
      </c>
      <c r="H4" s="125">
        <f>B4</f>
        <v>4</v>
      </c>
      <c r="I4" s="164">
        <v>0</v>
      </c>
      <c r="J4" s="164">
        <v>0</v>
      </c>
      <c r="K4" s="164">
        <v>0</v>
      </c>
      <c r="L4" s="126">
        <v>4</v>
      </c>
      <c r="M4" s="125">
        <f>B4</f>
        <v>4</v>
      </c>
      <c r="N4" s="164">
        <v>1</v>
      </c>
      <c r="O4" s="164">
        <v>0</v>
      </c>
      <c r="P4" s="164">
        <v>0</v>
      </c>
      <c r="Q4" s="126">
        <v>3</v>
      </c>
      <c r="R4" s="125">
        <f>G4</f>
        <v>4</v>
      </c>
      <c r="S4" s="164">
        <v>0</v>
      </c>
      <c r="T4" s="164">
        <v>0</v>
      </c>
      <c r="U4" s="164">
        <v>0</v>
      </c>
      <c r="V4" s="180">
        <v>4</v>
      </c>
      <c r="W4" s="125">
        <f>L4</f>
        <v>4</v>
      </c>
      <c r="X4" s="164">
        <v>1</v>
      </c>
      <c r="Y4" s="164">
        <v>2</v>
      </c>
      <c r="Z4" s="164">
        <v>0</v>
      </c>
      <c r="AA4" s="180">
        <v>2</v>
      </c>
      <c r="AB4" s="125">
        <v>5</v>
      </c>
      <c r="AC4" s="164">
        <v>0</v>
      </c>
      <c r="AD4" s="164">
        <v>0</v>
      </c>
      <c r="AE4" s="164">
        <v>0</v>
      </c>
      <c r="AF4" s="126">
        <v>5</v>
      </c>
      <c r="AG4" s="125">
        <v>5</v>
      </c>
      <c r="AH4" s="164">
        <v>1</v>
      </c>
      <c r="AI4" s="164">
        <v>0</v>
      </c>
      <c r="AJ4" s="164">
        <v>0</v>
      </c>
      <c r="AK4" s="126">
        <v>4</v>
      </c>
      <c r="AL4" s="125">
        <v>4</v>
      </c>
      <c r="AM4" s="164">
        <v>0</v>
      </c>
      <c r="AN4" s="164">
        <v>0</v>
      </c>
      <c r="AO4" s="164">
        <v>0</v>
      </c>
      <c r="AP4" s="125">
        <v>4</v>
      </c>
      <c r="AQ4" s="125">
        <v>4</v>
      </c>
      <c r="AR4" s="164">
        <v>0</v>
      </c>
      <c r="AS4" s="164">
        <v>0</v>
      </c>
      <c r="AT4" s="164">
        <v>0</v>
      </c>
      <c r="AU4" s="125">
        <v>4</v>
      </c>
      <c r="AV4" s="125">
        <v>4</v>
      </c>
      <c r="AW4" s="164">
        <v>0</v>
      </c>
      <c r="AX4" s="164">
        <v>0</v>
      </c>
      <c r="AY4" s="164">
        <v>0</v>
      </c>
      <c r="AZ4" s="126">
        <v>4</v>
      </c>
      <c r="BA4" s="125">
        <v>4</v>
      </c>
      <c r="BB4" s="164">
        <v>0</v>
      </c>
      <c r="BC4" s="164">
        <v>0</v>
      </c>
      <c r="BD4" s="164">
        <v>0</v>
      </c>
      <c r="BE4" s="126">
        <v>4</v>
      </c>
      <c r="BF4" s="125">
        <v>4</v>
      </c>
      <c r="BG4" s="164">
        <v>0</v>
      </c>
      <c r="BH4" s="164">
        <v>0</v>
      </c>
      <c r="BI4" s="164">
        <v>0</v>
      </c>
      <c r="BJ4" s="126">
        <v>4</v>
      </c>
      <c r="BK4" s="125">
        <v>4</v>
      </c>
      <c r="BL4" s="164">
        <v>0</v>
      </c>
      <c r="BM4" s="164">
        <v>0</v>
      </c>
      <c r="BN4" s="164">
        <v>0</v>
      </c>
      <c r="BO4" s="126">
        <v>4</v>
      </c>
      <c r="BP4" s="125">
        <v>4</v>
      </c>
      <c r="BQ4" s="164">
        <v>0</v>
      </c>
      <c r="BR4" s="164">
        <v>0</v>
      </c>
      <c r="BS4" s="164">
        <v>0</v>
      </c>
      <c r="BT4" s="126">
        <v>4</v>
      </c>
      <c r="BU4" s="125">
        <v>4</v>
      </c>
      <c r="BV4" s="164">
        <v>0</v>
      </c>
      <c r="BW4" s="164">
        <v>4</v>
      </c>
      <c r="BX4" s="164">
        <v>0</v>
      </c>
      <c r="BY4" s="126">
        <v>0</v>
      </c>
      <c r="BZ4" s="125">
        <v>4</v>
      </c>
      <c r="CA4" s="164">
        <v>0</v>
      </c>
      <c r="CB4" s="164">
        <v>4</v>
      </c>
      <c r="CC4" s="164">
        <v>0</v>
      </c>
      <c r="CD4" s="126">
        <v>0</v>
      </c>
      <c r="CE4" s="125">
        <v>4</v>
      </c>
      <c r="CF4" s="164">
        <v>0</v>
      </c>
      <c r="CG4" s="164">
        <v>4</v>
      </c>
      <c r="CH4" s="164">
        <v>0</v>
      </c>
      <c r="CI4" s="126">
        <v>0</v>
      </c>
      <c r="CJ4" s="125">
        <v>5</v>
      </c>
      <c r="CK4" s="164">
        <v>0</v>
      </c>
      <c r="CL4" s="164">
        <v>2</v>
      </c>
      <c r="CM4" s="164">
        <v>0</v>
      </c>
      <c r="CN4" s="126">
        <v>3</v>
      </c>
      <c r="CO4" s="125">
        <v>4</v>
      </c>
      <c r="CP4" s="164">
        <v>0</v>
      </c>
      <c r="CQ4" s="164">
        <v>0</v>
      </c>
      <c r="CR4" s="164">
        <v>0</v>
      </c>
      <c r="CS4" s="126">
        <v>4</v>
      </c>
      <c r="CT4" s="125">
        <v>4</v>
      </c>
      <c r="CU4" s="164">
        <v>0</v>
      </c>
      <c r="CV4" s="164">
        <v>0</v>
      </c>
      <c r="CW4" s="164">
        <v>0</v>
      </c>
      <c r="CX4" s="126">
        <v>4</v>
      </c>
      <c r="CY4" s="125">
        <v>4</v>
      </c>
      <c r="CZ4" s="164">
        <v>0</v>
      </c>
      <c r="DA4" s="164">
        <v>0</v>
      </c>
      <c r="DB4" s="164">
        <v>0</v>
      </c>
      <c r="DC4" s="126">
        <v>4</v>
      </c>
      <c r="DD4" s="125">
        <v>4</v>
      </c>
      <c r="DE4" s="164">
        <v>0</v>
      </c>
      <c r="DF4" s="164">
        <v>0</v>
      </c>
      <c r="DG4" s="164">
        <v>0</v>
      </c>
      <c r="DH4" s="126">
        <v>4</v>
      </c>
      <c r="DI4" s="125">
        <v>4</v>
      </c>
      <c r="DJ4" s="164">
        <v>0</v>
      </c>
      <c r="DK4" s="164">
        <v>0</v>
      </c>
      <c r="DL4" s="164">
        <v>0</v>
      </c>
      <c r="DM4" s="126">
        <v>4</v>
      </c>
      <c r="DN4" s="125"/>
      <c r="DO4" s="126"/>
      <c r="DP4" s="125"/>
      <c r="DQ4" s="126"/>
      <c r="DR4" s="125"/>
      <c r="DS4" s="126"/>
      <c r="DT4" s="125"/>
      <c r="DU4" s="126"/>
      <c r="DV4" s="125"/>
      <c r="DW4" s="126"/>
      <c r="DX4" s="125"/>
      <c r="DY4" s="126"/>
      <c r="DZ4" s="125"/>
      <c r="EA4" s="126"/>
      <c r="EB4" s="125"/>
      <c r="EC4" s="126"/>
      <c r="ED4" s="125"/>
      <c r="EE4" s="126"/>
      <c r="EF4" s="125"/>
      <c r="EG4" s="126"/>
      <c r="EH4" s="125"/>
      <c r="EI4" s="125"/>
      <c r="EJ4" s="126"/>
      <c r="EK4" s="125"/>
      <c r="EL4" s="126"/>
      <c r="EM4" s="125"/>
      <c r="EN4" s="126"/>
      <c r="EO4" s="125"/>
      <c r="EP4" s="126"/>
    </row>
    <row r="5" spans="1:146" s="52" customFormat="1" ht="14.1">
      <c r="A5" s="123" t="s">
        <v>170</v>
      </c>
      <c r="B5" s="124">
        <v>5</v>
      </c>
      <c r="C5" s="125">
        <f t="shared" si="0"/>
        <v>5</v>
      </c>
      <c r="D5" s="164">
        <v>0</v>
      </c>
      <c r="E5" s="164">
        <v>0</v>
      </c>
      <c r="F5" s="164">
        <v>0</v>
      </c>
      <c r="G5" s="126">
        <v>5</v>
      </c>
      <c r="H5" s="125">
        <f t="shared" ref="H5:H14" si="1">B5</f>
        <v>5</v>
      </c>
      <c r="I5" s="164">
        <v>0</v>
      </c>
      <c r="J5" s="164">
        <v>0</v>
      </c>
      <c r="K5" s="164">
        <v>0</v>
      </c>
      <c r="L5" s="126">
        <v>5</v>
      </c>
      <c r="M5" s="125">
        <f t="shared" ref="M5:M14" si="2">B5</f>
        <v>5</v>
      </c>
      <c r="N5" s="164">
        <v>1</v>
      </c>
      <c r="O5" s="164">
        <v>0</v>
      </c>
      <c r="P5" s="164">
        <v>0</v>
      </c>
      <c r="Q5" s="126">
        <v>4</v>
      </c>
      <c r="R5" s="125">
        <f t="shared" ref="R5:R9" si="3">G5</f>
        <v>5</v>
      </c>
      <c r="S5" s="164">
        <v>0</v>
      </c>
      <c r="T5" s="164">
        <v>0</v>
      </c>
      <c r="U5" s="164">
        <v>0</v>
      </c>
      <c r="V5" s="180">
        <v>5</v>
      </c>
      <c r="W5" s="125">
        <f t="shared" ref="W5:W7" si="4">L5</f>
        <v>5</v>
      </c>
      <c r="X5" s="164">
        <v>1</v>
      </c>
      <c r="Y5" s="164">
        <v>0</v>
      </c>
      <c r="Z5" s="164">
        <v>0</v>
      </c>
      <c r="AA5" s="180">
        <v>4</v>
      </c>
      <c r="AB5" s="125">
        <v>5</v>
      </c>
      <c r="AC5" s="164">
        <v>0</v>
      </c>
      <c r="AD5" s="164">
        <v>0</v>
      </c>
      <c r="AE5" s="164">
        <v>0</v>
      </c>
      <c r="AF5" s="126">
        <v>5</v>
      </c>
      <c r="AG5" s="125">
        <v>5</v>
      </c>
      <c r="AH5" s="164">
        <v>1</v>
      </c>
      <c r="AI5" s="164">
        <v>0</v>
      </c>
      <c r="AJ5" s="164">
        <v>0</v>
      </c>
      <c r="AK5" s="126">
        <v>4</v>
      </c>
      <c r="AL5" s="125">
        <v>5</v>
      </c>
      <c r="AM5" s="164">
        <v>0</v>
      </c>
      <c r="AN5" s="164">
        <v>0</v>
      </c>
      <c r="AO5" s="164">
        <v>0</v>
      </c>
      <c r="AP5" s="125">
        <v>5</v>
      </c>
      <c r="AQ5" s="125">
        <v>5</v>
      </c>
      <c r="AR5" s="164">
        <v>0</v>
      </c>
      <c r="AS5" s="164">
        <v>0</v>
      </c>
      <c r="AT5" s="164">
        <v>0</v>
      </c>
      <c r="AU5" s="125">
        <v>5</v>
      </c>
      <c r="AV5" s="125">
        <v>5</v>
      </c>
      <c r="AW5" s="164">
        <v>0</v>
      </c>
      <c r="AX5" s="164">
        <v>0</v>
      </c>
      <c r="AY5" s="164">
        <v>0</v>
      </c>
      <c r="AZ5" s="126">
        <v>5</v>
      </c>
      <c r="BA5" s="125">
        <v>5</v>
      </c>
      <c r="BB5" s="164">
        <v>0</v>
      </c>
      <c r="BC5" s="164">
        <v>0</v>
      </c>
      <c r="BD5" s="164">
        <v>1</v>
      </c>
      <c r="BE5" s="126">
        <v>4</v>
      </c>
      <c r="BF5" s="125">
        <v>5</v>
      </c>
      <c r="BG5" s="164">
        <v>0</v>
      </c>
      <c r="BH5" s="164">
        <v>0</v>
      </c>
      <c r="BI5" s="164">
        <v>0</v>
      </c>
      <c r="BJ5" s="126">
        <v>5</v>
      </c>
      <c r="BK5" s="125">
        <v>5</v>
      </c>
      <c r="BL5" s="164">
        <v>0</v>
      </c>
      <c r="BM5" s="164">
        <v>0</v>
      </c>
      <c r="BN5" s="164">
        <v>0</v>
      </c>
      <c r="BO5" s="126">
        <v>5</v>
      </c>
      <c r="BP5" s="125">
        <v>5</v>
      </c>
      <c r="BQ5" s="164">
        <v>0</v>
      </c>
      <c r="BR5" s="164">
        <v>5</v>
      </c>
      <c r="BS5" s="164">
        <v>0</v>
      </c>
      <c r="BT5" s="126">
        <v>0</v>
      </c>
      <c r="BU5" s="125">
        <v>5</v>
      </c>
      <c r="BV5" s="164">
        <v>0</v>
      </c>
      <c r="BW5" s="164">
        <v>0</v>
      </c>
      <c r="BX5" s="164">
        <v>0</v>
      </c>
      <c r="BY5" s="126">
        <v>5</v>
      </c>
      <c r="BZ5" s="125">
        <v>5</v>
      </c>
      <c r="CA5" s="164">
        <v>0</v>
      </c>
      <c r="CB5" s="164">
        <v>0</v>
      </c>
      <c r="CC5" s="164">
        <v>0</v>
      </c>
      <c r="CD5" s="126">
        <v>5</v>
      </c>
      <c r="CE5" s="125">
        <v>5</v>
      </c>
      <c r="CF5" s="164">
        <v>0</v>
      </c>
      <c r="CG5" s="164">
        <v>0</v>
      </c>
      <c r="CH5" s="164">
        <v>0</v>
      </c>
      <c r="CI5" s="126">
        <v>5</v>
      </c>
      <c r="CJ5" s="125">
        <v>5</v>
      </c>
      <c r="CK5" s="164">
        <v>0</v>
      </c>
      <c r="CL5" s="164">
        <v>0</v>
      </c>
      <c r="CM5" s="164">
        <v>0</v>
      </c>
      <c r="CN5" s="126">
        <v>5</v>
      </c>
      <c r="CO5" s="125">
        <v>5</v>
      </c>
      <c r="CP5" s="164">
        <v>0</v>
      </c>
      <c r="CQ5" s="164">
        <v>0</v>
      </c>
      <c r="CR5" s="164">
        <v>0</v>
      </c>
      <c r="CS5" s="126">
        <v>5</v>
      </c>
      <c r="CT5" s="125">
        <v>5</v>
      </c>
      <c r="CU5" s="164">
        <v>0</v>
      </c>
      <c r="CV5" s="164">
        <v>0</v>
      </c>
      <c r="CW5" s="164">
        <v>0</v>
      </c>
      <c r="CX5" s="126">
        <v>5</v>
      </c>
      <c r="CY5" s="125">
        <v>5</v>
      </c>
      <c r="CZ5" s="164">
        <v>0</v>
      </c>
      <c r="DA5" s="164">
        <v>0</v>
      </c>
      <c r="DB5" s="164">
        <v>0</v>
      </c>
      <c r="DC5" s="126">
        <v>5</v>
      </c>
      <c r="DD5" s="125">
        <v>5</v>
      </c>
      <c r="DE5" s="164">
        <v>0</v>
      </c>
      <c r="DF5" s="164">
        <v>0</v>
      </c>
      <c r="DG5" s="164">
        <v>0</v>
      </c>
      <c r="DH5" s="126">
        <v>5</v>
      </c>
      <c r="DI5" s="125">
        <v>5</v>
      </c>
      <c r="DJ5" s="164">
        <v>0</v>
      </c>
      <c r="DK5" s="164">
        <v>0</v>
      </c>
      <c r="DL5" s="164">
        <v>0</v>
      </c>
      <c r="DM5" s="126">
        <v>5</v>
      </c>
      <c r="DN5" s="125"/>
      <c r="DO5" s="126"/>
      <c r="DP5" s="125"/>
      <c r="DQ5" s="126"/>
      <c r="DR5" s="125"/>
      <c r="DS5" s="126"/>
      <c r="DT5" s="125"/>
      <c r="DU5" s="126"/>
      <c r="DV5" s="125"/>
      <c r="DW5" s="126"/>
      <c r="DX5" s="125"/>
      <c r="DY5" s="126"/>
      <c r="DZ5" s="125"/>
      <c r="EA5" s="126"/>
      <c r="EB5" s="125"/>
      <c r="EC5" s="126"/>
      <c r="ED5" s="125"/>
      <c r="EE5" s="126"/>
      <c r="EF5" s="125"/>
      <c r="EG5" s="126"/>
      <c r="EH5" s="125"/>
      <c r="EI5" s="125"/>
      <c r="EJ5" s="126"/>
      <c r="EK5" s="125"/>
      <c r="EL5" s="126"/>
      <c r="EM5" s="125"/>
      <c r="EN5" s="126"/>
      <c r="EO5" s="125"/>
      <c r="EP5" s="126"/>
    </row>
    <row r="6" spans="1:146" s="52" customFormat="1" ht="14.1">
      <c r="A6" s="123" t="s">
        <v>171</v>
      </c>
      <c r="B6" s="124">
        <v>4</v>
      </c>
      <c r="C6" s="125">
        <f t="shared" si="0"/>
        <v>4</v>
      </c>
      <c r="D6" s="164">
        <v>0</v>
      </c>
      <c r="E6" s="164">
        <v>0</v>
      </c>
      <c r="F6" s="164">
        <v>0</v>
      </c>
      <c r="G6" s="126">
        <v>4</v>
      </c>
      <c r="H6" s="125">
        <f t="shared" si="1"/>
        <v>4</v>
      </c>
      <c r="I6" s="164">
        <v>0</v>
      </c>
      <c r="J6" s="164">
        <v>0</v>
      </c>
      <c r="K6" s="164">
        <v>0</v>
      </c>
      <c r="L6" s="126">
        <v>4</v>
      </c>
      <c r="M6" s="125">
        <f t="shared" si="2"/>
        <v>4</v>
      </c>
      <c r="N6" s="164">
        <v>1</v>
      </c>
      <c r="O6" s="164">
        <v>0</v>
      </c>
      <c r="P6" s="164">
        <v>0</v>
      </c>
      <c r="Q6" s="126">
        <v>3</v>
      </c>
      <c r="R6" s="125">
        <f t="shared" si="3"/>
        <v>4</v>
      </c>
      <c r="S6" s="164">
        <v>0</v>
      </c>
      <c r="T6" s="164">
        <v>0</v>
      </c>
      <c r="U6" s="164">
        <v>0</v>
      </c>
      <c r="V6" s="180">
        <v>4</v>
      </c>
      <c r="W6" s="125">
        <v>5</v>
      </c>
      <c r="X6" s="164">
        <v>1</v>
      </c>
      <c r="Y6" s="164">
        <v>0</v>
      </c>
      <c r="Z6" s="164">
        <v>0</v>
      </c>
      <c r="AA6" s="180">
        <v>4</v>
      </c>
      <c r="AB6" s="125">
        <v>4</v>
      </c>
      <c r="AC6" s="164">
        <v>0</v>
      </c>
      <c r="AD6" s="164">
        <v>0</v>
      </c>
      <c r="AE6" s="164">
        <v>0</v>
      </c>
      <c r="AF6" s="126">
        <v>4</v>
      </c>
      <c r="AG6" s="125">
        <v>5</v>
      </c>
      <c r="AH6" s="164">
        <v>1</v>
      </c>
      <c r="AI6" s="164">
        <v>0</v>
      </c>
      <c r="AJ6" s="164">
        <v>0</v>
      </c>
      <c r="AK6" s="126">
        <v>4</v>
      </c>
      <c r="AL6" s="125">
        <v>4</v>
      </c>
      <c r="AM6" s="164">
        <v>0</v>
      </c>
      <c r="AN6" s="164">
        <v>0</v>
      </c>
      <c r="AO6" s="164">
        <v>0</v>
      </c>
      <c r="AP6" s="125">
        <v>4</v>
      </c>
      <c r="AQ6" s="125">
        <v>4</v>
      </c>
      <c r="AR6" s="164">
        <v>0</v>
      </c>
      <c r="AS6" s="164">
        <v>0</v>
      </c>
      <c r="AT6" s="164">
        <v>0</v>
      </c>
      <c r="AU6" s="125">
        <v>4</v>
      </c>
      <c r="AV6" s="125">
        <v>4</v>
      </c>
      <c r="AW6" s="164">
        <v>0</v>
      </c>
      <c r="AX6" s="164">
        <v>0</v>
      </c>
      <c r="AY6" s="164">
        <v>0</v>
      </c>
      <c r="AZ6" s="126">
        <v>4</v>
      </c>
      <c r="BA6" s="125">
        <v>4</v>
      </c>
      <c r="BB6" s="164">
        <v>0</v>
      </c>
      <c r="BC6" s="164">
        <v>0</v>
      </c>
      <c r="BD6" s="164">
        <v>0</v>
      </c>
      <c r="BE6" s="126">
        <v>4</v>
      </c>
      <c r="BF6" s="125">
        <v>4</v>
      </c>
      <c r="BG6" s="164">
        <v>0</v>
      </c>
      <c r="BH6" s="164">
        <v>0</v>
      </c>
      <c r="BI6" s="164">
        <v>0</v>
      </c>
      <c r="BJ6" s="126">
        <v>4</v>
      </c>
      <c r="BK6" s="125">
        <v>4</v>
      </c>
      <c r="BL6" s="164">
        <v>0</v>
      </c>
      <c r="BM6" s="164">
        <v>0</v>
      </c>
      <c r="BN6" s="164">
        <v>0</v>
      </c>
      <c r="BO6" s="126">
        <v>4</v>
      </c>
      <c r="BP6" s="125">
        <v>4</v>
      </c>
      <c r="BQ6" s="164">
        <v>0</v>
      </c>
      <c r="BR6" s="164">
        <v>0</v>
      </c>
      <c r="BS6" s="164">
        <v>0</v>
      </c>
      <c r="BT6" s="126">
        <v>4</v>
      </c>
      <c r="BU6" s="125">
        <v>4</v>
      </c>
      <c r="BV6" s="164">
        <v>1</v>
      </c>
      <c r="BW6" s="164">
        <v>0</v>
      </c>
      <c r="BX6" s="164">
        <v>0</v>
      </c>
      <c r="BY6" s="126">
        <v>3</v>
      </c>
      <c r="BZ6" s="125">
        <v>4</v>
      </c>
      <c r="CA6" s="164">
        <v>0</v>
      </c>
      <c r="CB6" s="164">
        <v>0</v>
      </c>
      <c r="CC6" s="164">
        <v>0</v>
      </c>
      <c r="CD6" s="126">
        <v>4</v>
      </c>
      <c r="CE6" s="125">
        <v>4</v>
      </c>
      <c r="CF6" s="164">
        <v>0</v>
      </c>
      <c r="CG6" s="164">
        <v>0</v>
      </c>
      <c r="CH6" s="164">
        <v>0</v>
      </c>
      <c r="CI6" s="126">
        <v>4</v>
      </c>
      <c r="CJ6" s="125">
        <v>4</v>
      </c>
      <c r="CK6" s="164">
        <v>0</v>
      </c>
      <c r="CL6" s="164">
        <v>0</v>
      </c>
      <c r="CM6" s="164">
        <v>0</v>
      </c>
      <c r="CN6" s="126">
        <v>4</v>
      </c>
      <c r="CO6" s="125">
        <v>4</v>
      </c>
      <c r="CP6" s="164">
        <v>0</v>
      </c>
      <c r="CQ6" s="164">
        <v>0</v>
      </c>
      <c r="CR6" s="164">
        <v>0</v>
      </c>
      <c r="CS6" s="126">
        <v>4</v>
      </c>
      <c r="CT6" s="125">
        <v>4</v>
      </c>
      <c r="CU6" s="164">
        <v>0</v>
      </c>
      <c r="CV6" s="164">
        <v>4</v>
      </c>
      <c r="CW6" s="164">
        <v>0</v>
      </c>
      <c r="CX6" s="126">
        <v>0</v>
      </c>
      <c r="CY6" s="125">
        <v>4</v>
      </c>
      <c r="CZ6" s="164">
        <v>0</v>
      </c>
      <c r="DA6" s="164">
        <v>0</v>
      </c>
      <c r="DB6" s="164">
        <v>0</v>
      </c>
      <c r="DC6" s="126">
        <v>3</v>
      </c>
      <c r="DD6" s="125">
        <v>4</v>
      </c>
      <c r="DE6" s="164">
        <v>0</v>
      </c>
      <c r="DF6" s="164">
        <v>0</v>
      </c>
      <c r="DG6" s="164">
        <v>0</v>
      </c>
      <c r="DH6" s="126">
        <v>4</v>
      </c>
      <c r="DI6" s="125">
        <v>4</v>
      </c>
      <c r="DJ6" s="164">
        <v>0</v>
      </c>
      <c r="DK6" s="164">
        <v>0</v>
      </c>
      <c r="DL6" s="164">
        <v>0</v>
      </c>
      <c r="DM6" s="126">
        <v>4</v>
      </c>
      <c r="DN6" s="125"/>
      <c r="DO6" s="126"/>
      <c r="DP6" s="125"/>
      <c r="DQ6" s="126"/>
      <c r="DR6" s="125"/>
      <c r="DS6" s="126"/>
      <c r="DT6" s="125"/>
      <c r="DU6" s="126"/>
      <c r="DV6" s="125"/>
      <c r="DW6" s="126"/>
      <c r="DX6" s="125"/>
      <c r="DY6" s="126"/>
      <c r="DZ6" s="125"/>
      <c r="EA6" s="126"/>
      <c r="EB6" s="125"/>
      <c r="EC6" s="126"/>
      <c r="ED6" s="125"/>
      <c r="EE6" s="126"/>
      <c r="EF6" s="125"/>
      <c r="EG6" s="126"/>
      <c r="EH6" s="125"/>
      <c r="EI6" s="125"/>
      <c r="EJ6" s="126"/>
      <c r="EK6" s="125"/>
      <c r="EL6" s="126"/>
      <c r="EM6" s="125"/>
      <c r="EN6" s="126"/>
      <c r="EO6" s="125"/>
      <c r="EP6" s="126"/>
    </row>
    <row r="7" spans="1:146" s="52" customFormat="1" ht="14.1">
      <c r="A7" s="123" t="s">
        <v>172</v>
      </c>
      <c r="B7" s="124">
        <v>5</v>
      </c>
      <c r="C7" s="125">
        <f t="shared" si="0"/>
        <v>5</v>
      </c>
      <c r="D7" s="164">
        <v>0</v>
      </c>
      <c r="E7" s="164">
        <v>0</v>
      </c>
      <c r="F7" s="164">
        <v>0</v>
      </c>
      <c r="G7" s="126">
        <v>5</v>
      </c>
      <c r="H7" s="125">
        <f t="shared" si="1"/>
        <v>5</v>
      </c>
      <c r="I7" s="164">
        <v>0</v>
      </c>
      <c r="J7" s="164">
        <v>0</v>
      </c>
      <c r="K7" s="164">
        <v>0</v>
      </c>
      <c r="L7" s="126">
        <v>5</v>
      </c>
      <c r="M7" s="125">
        <f t="shared" si="2"/>
        <v>5</v>
      </c>
      <c r="N7" s="164">
        <v>1</v>
      </c>
      <c r="O7" s="164">
        <v>0</v>
      </c>
      <c r="P7" s="164">
        <v>0</v>
      </c>
      <c r="Q7" s="126">
        <v>4</v>
      </c>
      <c r="R7" s="125">
        <f t="shared" si="3"/>
        <v>5</v>
      </c>
      <c r="S7" s="164">
        <v>0</v>
      </c>
      <c r="T7" s="164">
        <v>0</v>
      </c>
      <c r="U7" s="164">
        <v>0</v>
      </c>
      <c r="V7" s="180">
        <v>5</v>
      </c>
      <c r="W7" s="125">
        <f t="shared" si="4"/>
        <v>5</v>
      </c>
      <c r="X7" s="164">
        <v>1</v>
      </c>
      <c r="Y7" s="164">
        <v>1</v>
      </c>
      <c r="Z7" s="164">
        <v>0</v>
      </c>
      <c r="AA7" s="180">
        <v>3</v>
      </c>
      <c r="AB7" s="125">
        <v>5</v>
      </c>
      <c r="AC7" s="164">
        <v>0</v>
      </c>
      <c r="AD7" s="164">
        <v>0</v>
      </c>
      <c r="AE7" s="164">
        <v>0</v>
      </c>
      <c r="AF7" s="126">
        <v>5</v>
      </c>
      <c r="AG7" s="125">
        <v>5</v>
      </c>
      <c r="AH7" s="164">
        <v>1</v>
      </c>
      <c r="AI7" s="164">
        <v>0</v>
      </c>
      <c r="AJ7" s="164">
        <v>0</v>
      </c>
      <c r="AK7" s="126">
        <v>4</v>
      </c>
      <c r="AL7" s="125">
        <v>5</v>
      </c>
      <c r="AM7" s="164">
        <v>0</v>
      </c>
      <c r="AN7" s="164">
        <v>0</v>
      </c>
      <c r="AO7" s="164">
        <v>0</v>
      </c>
      <c r="AP7" s="125">
        <v>5</v>
      </c>
      <c r="AQ7" s="125">
        <v>5</v>
      </c>
      <c r="AR7" s="164">
        <v>0</v>
      </c>
      <c r="AS7" s="164">
        <v>0</v>
      </c>
      <c r="AT7" s="164">
        <v>0</v>
      </c>
      <c r="AU7" s="125">
        <v>5</v>
      </c>
      <c r="AV7" s="125">
        <v>5</v>
      </c>
      <c r="AW7" s="164">
        <v>0</v>
      </c>
      <c r="AX7" s="164">
        <v>0</v>
      </c>
      <c r="AY7" s="164">
        <v>0</v>
      </c>
      <c r="AZ7" s="126">
        <v>5</v>
      </c>
      <c r="BA7" s="125">
        <v>5</v>
      </c>
      <c r="BB7" s="164">
        <v>0</v>
      </c>
      <c r="BC7" s="164">
        <v>0</v>
      </c>
      <c r="BD7" s="164">
        <v>0</v>
      </c>
      <c r="BE7" s="126">
        <v>5</v>
      </c>
      <c r="BF7" s="125">
        <v>5</v>
      </c>
      <c r="BG7" s="164">
        <v>0</v>
      </c>
      <c r="BH7" s="164">
        <v>0</v>
      </c>
      <c r="BI7" s="164">
        <v>0</v>
      </c>
      <c r="BJ7" s="126">
        <v>5</v>
      </c>
      <c r="BK7" s="125">
        <v>5</v>
      </c>
      <c r="BL7" s="164">
        <v>0</v>
      </c>
      <c r="BM7" s="164">
        <v>0</v>
      </c>
      <c r="BN7" s="164">
        <v>0</v>
      </c>
      <c r="BO7" s="126">
        <v>5</v>
      </c>
      <c r="BP7" s="125">
        <v>5</v>
      </c>
      <c r="BQ7" s="164">
        <v>0</v>
      </c>
      <c r="BR7" s="164">
        <v>0</v>
      </c>
      <c r="BS7" s="164">
        <v>0</v>
      </c>
      <c r="BT7" s="126">
        <v>5</v>
      </c>
      <c r="BU7" s="125">
        <v>5</v>
      </c>
      <c r="BV7" s="164">
        <v>0</v>
      </c>
      <c r="BW7" s="164">
        <v>0</v>
      </c>
      <c r="BX7" s="164">
        <v>0</v>
      </c>
      <c r="BY7" s="126">
        <v>5</v>
      </c>
      <c r="BZ7" s="125">
        <v>5</v>
      </c>
      <c r="CA7" s="164">
        <v>0</v>
      </c>
      <c r="CB7" s="164">
        <v>5</v>
      </c>
      <c r="CC7" s="164">
        <v>0</v>
      </c>
      <c r="CD7" s="126">
        <v>0</v>
      </c>
      <c r="CE7" s="125">
        <v>5</v>
      </c>
      <c r="CF7" s="164">
        <v>0</v>
      </c>
      <c r="CG7" s="164">
        <v>5</v>
      </c>
      <c r="CH7" s="164">
        <v>0</v>
      </c>
      <c r="CI7" s="126">
        <v>0</v>
      </c>
      <c r="CJ7" s="125">
        <v>5</v>
      </c>
      <c r="CK7" s="164">
        <v>0</v>
      </c>
      <c r="CL7" s="164">
        <v>5</v>
      </c>
      <c r="CM7" s="164">
        <v>0</v>
      </c>
      <c r="CN7" s="126">
        <v>0</v>
      </c>
      <c r="CO7" s="125">
        <v>5</v>
      </c>
      <c r="CP7" s="164">
        <v>0</v>
      </c>
      <c r="CQ7" s="164">
        <v>0</v>
      </c>
      <c r="CR7" s="164">
        <v>0</v>
      </c>
      <c r="CS7" s="126">
        <v>5</v>
      </c>
      <c r="CT7" s="125">
        <v>5</v>
      </c>
      <c r="CU7" s="164">
        <v>0</v>
      </c>
      <c r="CV7" s="164">
        <v>0</v>
      </c>
      <c r="CW7" s="164">
        <v>0</v>
      </c>
      <c r="CX7" s="126">
        <v>5</v>
      </c>
      <c r="CY7" s="125">
        <v>5</v>
      </c>
      <c r="CZ7" s="164">
        <v>0</v>
      </c>
      <c r="DA7" s="164">
        <v>0</v>
      </c>
      <c r="DB7" s="164">
        <v>0</v>
      </c>
      <c r="DC7" s="126">
        <v>5</v>
      </c>
      <c r="DD7" s="125">
        <v>5</v>
      </c>
      <c r="DE7" s="164">
        <v>0</v>
      </c>
      <c r="DF7" s="164">
        <v>0</v>
      </c>
      <c r="DG7" s="164">
        <v>0</v>
      </c>
      <c r="DH7" s="126">
        <v>5</v>
      </c>
      <c r="DI7" s="125">
        <v>5</v>
      </c>
      <c r="DJ7" s="164">
        <v>0</v>
      </c>
      <c r="DK7" s="164">
        <v>0</v>
      </c>
      <c r="DL7" s="164">
        <v>0</v>
      </c>
      <c r="DM7" s="126">
        <v>5</v>
      </c>
      <c r="DN7" s="125"/>
      <c r="DO7" s="126"/>
      <c r="DP7" s="125"/>
      <c r="DQ7" s="126"/>
      <c r="DR7" s="125"/>
      <c r="DS7" s="126"/>
      <c r="DT7" s="125"/>
      <c r="DU7" s="126"/>
      <c r="DV7" s="125"/>
      <c r="DW7" s="126"/>
      <c r="DX7" s="125"/>
      <c r="DY7" s="126"/>
      <c r="DZ7" s="125"/>
      <c r="EA7" s="126"/>
      <c r="EB7" s="125"/>
      <c r="EC7" s="126"/>
      <c r="ED7" s="125"/>
      <c r="EE7" s="126"/>
      <c r="EF7" s="125"/>
      <c r="EG7" s="126"/>
      <c r="EH7" s="125"/>
      <c r="EI7" s="125"/>
      <c r="EJ7" s="126"/>
      <c r="EK7" s="125"/>
      <c r="EL7" s="126"/>
      <c r="EM7" s="125"/>
      <c r="EN7" s="126"/>
      <c r="EO7" s="125"/>
      <c r="EP7" s="126"/>
    </row>
    <row r="8" spans="1:146" s="52" customFormat="1" ht="14.1">
      <c r="A8" s="123" t="s">
        <v>173</v>
      </c>
      <c r="B8" s="124">
        <v>5</v>
      </c>
      <c r="C8" s="125">
        <f t="shared" si="0"/>
        <v>5</v>
      </c>
      <c r="D8" s="164">
        <v>0</v>
      </c>
      <c r="E8" s="164">
        <v>0</v>
      </c>
      <c r="F8" s="164">
        <v>0</v>
      </c>
      <c r="G8" s="126">
        <v>4</v>
      </c>
      <c r="H8" s="125">
        <f t="shared" si="1"/>
        <v>5</v>
      </c>
      <c r="I8" s="164">
        <v>0</v>
      </c>
      <c r="J8" s="164">
        <v>0</v>
      </c>
      <c r="K8" s="164">
        <v>0</v>
      </c>
      <c r="L8" s="126">
        <v>5</v>
      </c>
      <c r="M8" s="125">
        <f t="shared" si="2"/>
        <v>5</v>
      </c>
      <c r="N8" s="164">
        <v>1</v>
      </c>
      <c r="O8" s="164">
        <v>0</v>
      </c>
      <c r="P8" s="164">
        <v>0</v>
      </c>
      <c r="Q8" s="126">
        <v>4</v>
      </c>
      <c r="R8" s="125">
        <v>2</v>
      </c>
      <c r="S8" s="164">
        <v>0</v>
      </c>
      <c r="T8" s="164">
        <v>0</v>
      </c>
      <c r="U8" s="164">
        <v>0</v>
      </c>
      <c r="V8" s="179">
        <v>2</v>
      </c>
      <c r="W8" s="125">
        <v>0</v>
      </c>
      <c r="X8" s="164">
        <v>0</v>
      </c>
      <c r="Y8" s="164">
        <v>0</v>
      </c>
      <c r="Z8" s="164">
        <v>0</v>
      </c>
      <c r="AA8" s="179">
        <v>0</v>
      </c>
      <c r="AB8" s="125">
        <v>0</v>
      </c>
      <c r="AC8" s="164">
        <v>0</v>
      </c>
      <c r="AD8" s="164">
        <v>0</v>
      </c>
      <c r="AE8" s="164">
        <v>0</v>
      </c>
      <c r="AF8" s="126">
        <v>0</v>
      </c>
      <c r="AG8" s="125">
        <v>0</v>
      </c>
      <c r="AH8" s="164">
        <v>0</v>
      </c>
      <c r="AI8" s="164">
        <v>0</v>
      </c>
      <c r="AJ8" s="164">
        <v>0</v>
      </c>
      <c r="AK8" s="126">
        <v>0</v>
      </c>
      <c r="AL8" s="125">
        <v>0</v>
      </c>
      <c r="AM8" s="164">
        <v>0</v>
      </c>
      <c r="AN8" s="164">
        <v>0</v>
      </c>
      <c r="AO8" s="164">
        <v>0</v>
      </c>
      <c r="AP8" s="125">
        <v>0</v>
      </c>
      <c r="AQ8" s="125">
        <v>0</v>
      </c>
      <c r="AR8" s="164">
        <v>0</v>
      </c>
      <c r="AS8" s="164">
        <v>0</v>
      </c>
      <c r="AT8" s="164">
        <v>0</v>
      </c>
      <c r="AU8" s="125">
        <v>0</v>
      </c>
      <c r="AV8" s="125">
        <v>0</v>
      </c>
      <c r="AW8" s="164">
        <v>0</v>
      </c>
      <c r="AX8" s="164">
        <v>0</v>
      </c>
      <c r="AY8" s="164">
        <v>0</v>
      </c>
      <c r="AZ8" s="126">
        <v>0</v>
      </c>
      <c r="BA8" s="125">
        <v>0</v>
      </c>
      <c r="BB8" s="164">
        <v>0</v>
      </c>
      <c r="BC8" s="164">
        <v>0</v>
      </c>
      <c r="BD8" s="164">
        <v>0</v>
      </c>
      <c r="BE8" s="126">
        <v>0</v>
      </c>
      <c r="BF8" s="125">
        <v>0</v>
      </c>
      <c r="BG8" s="164">
        <v>0</v>
      </c>
      <c r="BH8" s="164">
        <v>0</v>
      </c>
      <c r="BI8" s="164">
        <v>0</v>
      </c>
      <c r="BJ8" s="126">
        <v>0</v>
      </c>
      <c r="BK8" s="125">
        <v>0</v>
      </c>
      <c r="BL8" s="164">
        <v>0</v>
      </c>
      <c r="BM8" s="164">
        <v>0</v>
      </c>
      <c r="BN8" s="164">
        <v>0</v>
      </c>
      <c r="BO8" s="126">
        <v>0</v>
      </c>
      <c r="BP8" s="125">
        <v>0</v>
      </c>
      <c r="BQ8" s="164">
        <v>0</v>
      </c>
      <c r="BR8" s="164">
        <v>0</v>
      </c>
      <c r="BS8" s="164">
        <v>0</v>
      </c>
      <c r="BT8" s="126">
        <v>0</v>
      </c>
      <c r="BU8" s="125">
        <v>0</v>
      </c>
      <c r="BV8" s="164">
        <v>0</v>
      </c>
      <c r="BW8" s="164">
        <v>0</v>
      </c>
      <c r="BX8" s="164">
        <v>0</v>
      </c>
      <c r="BY8" s="126">
        <v>0</v>
      </c>
      <c r="BZ8" s="125">
        <v>0</v>
      </c>
      <c r="CA8" s="164">
        <v>0</v>
      </c>
      <c r="CB8" s="164">
        <v>0</v>
      </c>
      <c r="CC8" s="164">
        <v>0</v>
      </c>
      <c r="CD8" s="126">
        <v>0</v>
      </c>
      <c r="CE8" s="125">
        <v>3</v>
      </c>
      <c r="CF8" s="164">
        <v>0</v>
      </c>
      <c r="CG8" s="164">
        <v>0</v>
      </c>
      <c r="CH8" s="164">
        <v>0</v>
      </c>
      <c r="CI8" s="126">
        <v>3</v>
      </c>
      <c r="CJ8" s="125">
        <v>3</v>
      </c>
      <c r="CK8" s="164">
        <v>0</v>
      </c>
      <c r="CL8" s="164">
        <v>0</v>
      </c>
      <c r="CM8" s="164">
        <v>0</v>
      </c>
      <c r="CN8" s="126">
        <v>3</v>
      </c>
      <c r="CO8" s="125">
        <v>3</v>
      </c>
      <c r="CP8" s="164">
        <v>0</v>
      </c>
      <c r="CQ8" s="164">
        <v>0</v>
      </c>
      <c r="CR8" s="164">
        <v>0</v>
      </c>
      <c r="CS8" s="126">
        <v>3</v>
      </c>
      <c r="CT8" s="125">
        <v>3</v>
      </c>
      <c r="CU8" s="164">
        <v>0</v>
      </c>
      <c r="CV8" s="164">
        <v>0</v>
      </c>
      <c r="CW8" s="164">
        <v>0</v>
      </c>
      <c r="CX8" s="126">
        <v>3</v>
      </c>
      <c r="CY8" s="125">
        <v>3</v>
      </c>
      <c r="CZ8" s="164">
        <v>0</v>
      </c>
      <c r="DA8" s="164">
        <v>0</v>
      </c>
      <c r="DB8" s="164">
        <v>0</v>
      </c>
      <c r="DC8" s="126">
        <v>3</v>
      </c>
      <c r="DD8" s="125">
        <v>4</v>
      </c>
      <c r="DE8" s="164">
        <v>0</v>
      </c>
      <c r="DF8" s="164">
        <v>0</v>
      </c>
      <c r="DG8" s="164">
        <v>0</v>
      </c>
      <c r="DH8" s="126">
        <v>4</v>
      </c>
      <c r="DI8" s="125">
        <v>4</v>
      </c>
      <c r="DJ8" s="164">
        <v>0</v>
      </c>
      <c r="DK8" s="164">
        <v>0</v>
      </c>
      <c r="DL8" s="164">
        <v>0</v>
      </c>
      <c r="DM8" s="126">
        <v>4</v>
      </c>
      <c r="DN8" s="125"/>
      <c r="DO8" s="126"/>
      <c r="DP8" s="125"/>
      <c r="DQ8" s="126"/>
      <c r="DR8" s="125"/>
      <c r="DS8" s="126"/>
      <c r="DT8" s="125"/>
      <c r="DU8" s="126"/>
      <c r="DV8" s="125"/>
      <c r="DW8" s="126"/>
      <c r="DX8" s="125"/>
      <c r="DY8" s="126"/>
      <c r="DZ8" s="125"/>
      <c r="EA8" s="126"/>
      <c r="EB8" s="125"/>
      <c r="EC8" s="126"/>
      <c r="ED8" s="125"/>
      <c r="EE8" s="126"/>
      <c r="EF8" s="125"/>
      <c r="EG8" s="126"/>
      <c r="EH8" s="125"/>
      <c r="EI8" s="125"/>
      <c r="EJ8" s="126"/>
      <c r="EK8" s="125"/>
      <c r="EL8" s="126"/>
      <c r="EM8" s="125"/>
      <c r="EN8" s="126"/>
      <c r="EO8" s="125"/>
      <c r="EP8" s="126"/>
    </row>
    <row r="9" spans="1:146" s="52" customFormat="1" ht="14.1">
      <c r="A9" s="123" t="s">
        <v>174</v>
      </c>
      <c r="B9" s="124">
        <v>3</v>
      </c>
      <c r="C9" s="125">
        <f t="shared" si="0"/>
        <v>3</v>
      </c>
      <c r="D9" s="164">
        <v>0</v>
      </c>
      <c r="E9" s="164">
        <v>0</v>
      </c>
      <c r="F9" s="164">
        <v>0</v>
      </c>
      <c r="G9" s="126">
        <v>3</v>
      </c>
      <c r="H9" s="125">
        <f t="shared" si="1"/>
        <v>3</v>
      </c>
      <c r="I9" s="164">
        <v>0</v>
      </c>
      <c r="J9" s="164">
        <v>0</v>
      </c>
      <c r="K9" s="164">
        <v>0</v>
      </c>
      <c r="L9" s="126">
        <v>3</v>
      </c>
      <c r="M9" s="125">
        <f t="shared" si="2"/>
        <v>3</v>
      </c>
      <c r="N9" s="164">
        <v>0</v>
      </c>
      <c r="O9" s="164">
        <v>0</v>
      </c>
      <c r="P9" s="164">
        <v>0</v>
      </c>
      <c r="Q9" s="126">
        <v>3</v>
      </c>
      <c r="R9" s="125">
        <f t="shared" si="3"/>
        <v>3</v>
      </c>
      <c r="S9" s="164">
        <v>0</v>
      </c>
      <c r="T9" s="164">
        <v>0</v>
      </c>
      <c r="U9" s="164">
        <v>0</v>
      </c>
      <c r="V9" s="180">
        <v>3</v>
      </c>
      <c r="W9" s="125">
        <v>4</v>
      </c>
      <c r="X9" s="164">
        <v>1</v>
      </c>
      <c r="Y9" s="164">
        <v>0</v>
      </c>
      <c r="Z9" s="164">
        <v>0</v>
      </c>
      <c r="AA9" s="180">
        <v>3</v>
      </c>
      <c r="AB9" s="125">
        <v>3</v>
      </c>
      <c r="AC9" s="164">
        <v>0</v>
      </c>
      <c r="AD9" s="164">
        <v>0</v>
      </c>
      <c r="AE9" s="164">
        <v>0</v>
      </c>
      <c r="AF9" s="126">
        <v>3</v>
      </c>
      <c r="AG9" s="125">
        <v>4</v>
      </c>
      <c r="AH9" s="164">
        <v>1</v>
      </c>
      <c r="AI9" s="164">
        <v>0</v>
      </c>
      <c r="AJ9" s="164">
        <v>0</v>
      </c>
      <c r="AK9" s="126">
        <v>3</v>
      </c>
      <c r="AL9" s="125">
        <v>3</v>
      </c>
      <c r="AM9" s="164">
        <v>0</v>
      </c>
      <c r="AN9" s="164">
        <v>0</v>
      </c>
      <c r="AO9" s="164">
        <v>0</v>
      </c>
      <c r="AP9" s="125">
        <v>3</v>
      </c>
      <c r="AQ9" s="125">
        <v>3</v>
      </c>
      <c r="AR9" s="164">
        <v>0</v>
      </c>
      <c r="AS9" s="164">
        <v>0</v>
      </c>
      <c r="AT9" s="164">
        <v>0</v>
      </c>
      <c r="AU9" s="125">
        <v>3</v>
      </c>
      <c r="AV9" s="125">
        <v>3</v>
      </c>
      <c r="AW9" s="164">
        <v>0</v>
      </c>
      <c r="AX9" s="164">
        <v>0</v>
      </c>
      <c r="AY9" s="164">
        <v>0</v>
      </c>
      <c r="AZ9" s="126">
        <v>3</v>
      </c>
      <c r="BA9" s="125">
        <v>3</v>
      </c>
      <c r="BB9" s="164">
        <v>0</v>
      </c>
      <c r="BC9" s="164">
        <v>0</v>
      </c>
      <c r="BD9" s="164">
        <v>0</v>
      </c>
      <c r="BE9" s="126">
        <v>3</v>
      </c>
      <c r="BF9" s="125">
        <v>3</v>
      </c>
      <c r="BG9" s="164">
        <v>0</v>
      </c>
      <c r="BH9" s="164">
        <v>0</v>
      </c>
      <c r="BI9" s="164">
        <v>0</v>
      </c>
      <c r="BJ9" s="126">
        <v>3</v>
      </c>
      <c r="BK9" s="125">
        <v>3</v>
      </c>
      <c r="BL9" s="164">
        <v>0</v>
      </c>
      <c r="BM9" s="164">
        <v>0</v>
      </c>
      <c r="BN9" s="164">
        <v>0</v>
      </c>
      <c r="BO9" s="126">
        <v>2.5</v>
      </c>
      <c r="BP9" s="125">
        <v>3</v>
      </c>
      <c r="BQ9" s="164">
        <v>0</v>
      </c>
      <c r="BR9" s="164">
        <v>0</v>
      </c>
      <c r="BS9" s="164">
        <v>1</v>
      </c>
      <c r="BT9" s="126">
        <v>2</v>
      </c>
      <c r="BU9" s="125">
        <v>3</v>
      </c>
      <c r="BV9" s="164">
        <v>0</v>
      </c>
      <c r="BW9" s="164">
        <v>0</v>
      </c>
      <c r="BX9" s="164">
        <v>0</v>
      </c>
      <c r="BY9" s="126">
        <v>3</v>
      </c>
      <c r="BZ9" s="125">
        <v>3</v>
      </c>
      <c r="CA9" s="164">
        <v>0</v>
      </c>
      <c r="CB9" s="164">
        <v>0</v>
      </c>
      <c r="CC9" s="164">
        <v>3</v>
      </c>
      <c r="CD9" s="126">
        <v>0</v>
      </c>
      <c r="CE9" s="125">
        <v>3</v>
      </c>
      <c r="CF9" s="164">
        <v>0</v>
      </c>
      <c r="CG9" s="164">
        <v>0</v>
      </c>
      <c r="CH9" s="164">
        <v>0</v>
      </c>
      <c r="CI9" s="126">
        <v>3</v>
      </c>
      <c r="CJ9" s="125">
        <v>3</v>
      </c>
      <c r="CK9" s="164">
        <v>0</v>
      </c>
      <c r="CL9" s="164">
        <v>0</v>
      </c>
      <c r="CM9" s="164">
        <v>2</v>
      </c>
      <c r="CN9" s="126">
        <v>1</v>
      </c>
      <c r="CO9" s="125">
        <v>3</v>
      </c>
      <c r="CP9" s="164">
        <v>0</v>
      </c>
      <c r="CQ9" s="164">
        <v>0</v>
      </c>
      <c r="CR9" s="164">
        <v>0</v>
      </c>
      <c r="CS9" s="126">
        <v>1</v>
      </c>
      <c r="CT9" s="125">
        <v>3</v>
      </c>
      <c r="CU9" s="164">
        <v>0</v>
      </c>
      <c r="CV9" s="164">
        <v>0</v>
      </c>
      <c r="CW9" s="164">
        <v>0</v>
      </c>
      <c r="CX9" s="126">
        <v>2</v>
      </c>
      <c r="CY9" s="125">
        <v>3</v>
      </c>
      <c r="CZ9" s="164">
        <v>0</v>
      </c>
      <c r="DA9" s="164">
        <v>0</v>
      </c>
      <c r="DB9" s="164">
        <v>0</v>
      </c>
      <c r="DC9" s="126">
        <v>0</v>
      </c>
      <c r="DD9" s="125">
        <v>3</v>
      </c>
      <c r="DE9" s="164">
        <v>0</v>
      </c>
      <c r="DF9" s="164">
        <v>0</v>
      </c>
      <c r="DG9" s="164">
        <v>0</v>
      </c>
      <c r="DH9" s="126">
        <v>0</v>
      </c>
      <c r="DI9" s="125">
        <v>3</v>
      </c>
      <c r="DJ9" s="164">
        <v>0</v>
      </c>
      <c r="DK9" s="164">
        <v>0</v>
      </c>
      <c r="DL9" s="164">
        <v>0</v>
      </c>
      <c r="DM9" s="126">
        <v>1</v>
      </c>
      <c r="DN9" s="125"/>
      <c r="DO9" s="126"/>
      <c r="DP9" s="125"/>
      <c r="DQ9" s="126"/>
      <c r="DR9" s="125"/>
      <c r="DS9" s="126"/>
      <c r="DT9" s="125"/>
      <c r="DU9" s="126"/>
      <c r="DV9" s="125"/>
      <c r="DW9" s="126"/>
      <c r="DX9" s="125"/>
      <c r="DY9" s="126"/>
      <c r="DZ9" s="125"/>
      <c r="EA9" s="126"/>
      <c r="EB9" s="125"/>
      <c r="EC9" s="126"/>
      <c r="ED9" s="125"/>
      <c r="EE9" s="126"/>
      <c r="EF9" s="125"/>
      <c r="EG9" s="126"/>
      <c r="EH9" s="125"/>
      <c r="EI9" s="125"/>
      <c r="EJ9" s="126"/>
      <c r="EK9" s="125"/>
      <c r="EL9" s="126"/>
      <c r="EM9" s="125"/>
      <c r="EN9" s="126"/>
      <c r="EO9" s="125"/>
      <c r="EP9" s="126"/>
    </row>
    <row r="10" spans="1:146" s="52" customFormat="1" ht="14.1">
      <c r="A10" s="123" t="s">
        <v>175</v>
      </c>
      <c r="B10" s="124">
        <v>5</v>
      </c>
      <c r="C10" s="125">
        <f t="shared" si="0"/>
        <v>5</v>
      </c>
      <c r="D10" s="164">
        <v>0</v>
      </c>
      <c r="E10" s="164">
        <v>0</v>
      </c>
      <c r="F10" s="164">
        <v>0</v>
      </c>
      <c r="G10" s="126">
        <v>5</v>
      </c>
      <c r="H10" s="125">
        <f t="shared" si="1"/>
        <v>5</v>
      </c>
      <c r="I10" s="164">
        <v>0</v>
      </c>
      <c r="J10" s="164">
        <v>0</v>
      </c>
      <c r="K10" s="164">
        <v>0</v>
      </c>
      <c r="L10" s="126">
        <v>5</v>
      </c>
      <c r="M10" s="125">
        <v>0</v>
      </c>
      <c r="N10" s="164">
        <v>0</v>
      </c>
      <c r="O10" s="164">
        <v>0</v>
      </c>
      <c r="P10" s="164">
        <v>0</v>
      </c>
      <c r="Q10" s="126">
        <v>0</v>
      </c>
      <c r="R10" s="125">
        <v>0</v>
      </c>
      <c r="S10" s="164">
        <v>0</v>
      </c>
      <c r="T10" s="164">
        <v>0</v>
      </c>
      <c r="U10" s="164">
        <v>0</v>
      </c>
      <c r="V10" s="180">
        <v>0</v>
      </c>
      <c r="W10" s="125">
        <v>0</v>
      </c>
      <c r="X10" s="164">
        <v>0</v>
      </c>
      <c r="Y10" s="164">
        <v>0</v>
      </c>
      <c r="Z10" s="164">
        <v>0</v>
      </c>
      <c r="AA10" s="180">
        <v>0</v>
      </c>
      <c r="AB10" s="125">
        <v>0</v>
      </c>
      <c r="AC10" s="164">
        <v>0</v>
      </c>
      <c r="AD10" s="164">
        <v>0</v>
      </c>
      <c r="AE10" s="164">
        <v>0</v>
      </c>
      <c r="AF10" s="126">
        <v>0</v>
      </c>
      <c r="AG10" s="125">
        <v>0</v>
      </c>
      <c r="AH10" s="164">
        <v>0</v>
      </c>
      <c r="AI10" s="164">
        <v>0</v>
      </c>
      <c r="AJ10" s="164">
        <v>0</v>
      </c>
      <c r="AK10" s="126">
        <v>0</v>
      </c>
      <c r="AL10" s="125">
        <v>5</v>
      </c>
      <c r="AM10" s="164">
        <v>0</v>
      </c>
      <c r="AN10" s="164">
        <v>0</v>
      </c>
      <c r="AO10" s="164">
        <v>0</v>
      </c>
      <c r="AP10" s="125">
        <v>5</v>
      </c>
      <c r="AQ10" s="125">
        <v>5</v>
      </c>
      <c r="AR10" s="164">
        <v>0</v>
      </c>
      <c r="AS10" s="164">
        <v>0</v>
      </c>
      <c r="AT10" s="164">
        <v>0</v>
      </c>
      <c r="AU10" s="125">
        <v>5</v>
      </c>
      <c r="AV10" s="125">
        <v>5</v>
      </c>
      <c r="AW10" s="164">
        <v>0</v>
      </c>
      <c r="AX10" s="164">
        <v>0</v>
      </c>
      <c r="AY10" s="164">
        <v>0</v>
      </c>
      <c r="AZ10" s="126">
        <v>5</v>
      </c>
      <c r="BA10" s="125">
        <v>5</v>
      </c>
      <c r="BB10" s="164">
        <v>0</v>
      </c>
      <c r="BC10" s="164">
        <v>0</v>
      </c>
      <c r="BD10" s="164">
        <v>0</v>
      </c>
      <c r="BE10" s="126">
        <v>5</v>
      </c>
      <c r="BF10" s="125">
        <v>5</v>
      </c>
      <c r="BG10" s="164">
        <v>0</v>
      </c>
      <c r="BH10" s="164">
        <v>0</v>
      </c>
      <c r="BI10" s="164">
        <v>0</v>
      </c>
      <c r="BJ10" s="126">
        <v>5</v>
      </c>
      <c r="BK10" s="125">
        <v>5</v>
      </c>
      <c r="BL10" s="164">
        <v>0</v>
      </c>
      <c r="BM10" s="164">
        <v>0</v>
      </c>
      <c r="BN10" s="164">
        <v>0</v>
      </c>
      <c r="BO10" s="126">
        <v>5</v>
      </c>
      <c r="BP10" s="125">
        <v>5</v>
      </c>
      <c r="BQ10" s="164">
        <v>0</v>
      </c>
      <c r="BR10" s="164">
        <v>0</v>
      </c>
      <c r="BS10" s="164">
        <v>0</v>
      </c>
      <c r="BT10" s="126">
        <v>5</v>
      </c>
      <c r="BU10" s="125">
        <v>5</v>
      </c>
      <c r="BV10" s="164">
        <v>0</v>
      </c>
      <c r="BW10" s="164">
        <v>0</v>
      </c>
      <c r="BX10" s="164">
        <v>0</v>
      </c>
      <c r="BY10" s="126">
        <v>5</v>
      </c>
      <c r="BZ10" s="125">
        <v>5</v>
      </c>
      <c r="CA10" s="164">
        <v>0</v>
      </c>
      <c r="CB10" s="164">
        <v>0</v>
      </c>
      <c r="CC10" s="164">
        <v>0</v>
      </c>
      <c r="CD10" s="126">
        <v>5</v>
      </c>
      <c r="CE10" s="125">
        <v>5</v>
      </c>
      <c r="CF10" s="164">
        <v>0</v>
      </c>
      <c r="CG10" s="164">
        <v>5</v>
      </c>
      <c r="CH10" s="164">
        <v>0</v>
      </c>
      <c r="CI10" s="126">
        <v>0</v>
      </c>
      <c r="CJ10" s="125">
        <v>5</v>
      </c>
      <c r="CK10" s="164">
        <v>0</v>
      </c>
      <c r="CL10" s="164">
        <v>5</v>
      </c>
      <c r="CM10" s="164">
        <v>0</v>
      </c>
      <c r="CN10" s="126">
        <v>0</v>
      </c>
      <c r="CO10" s="125">
        <v>5</v>
      </c>
      <c r="CP10" s="164">
        <v>0</v>
      </c>
      <c r="CQ10" s="164">
        <v>5</v>
      </c>
      <c r="CR10" s="164">
        <v>0</v>
      </c>
      <c r="CS10" s="126">
        <v>0</v>
      </c>
      <c r="CT10" s="125">
        <v>5</v>
      </c>
      <c r="CU10" s="164">
        <v>0</v>
      </c>
      <c r="CV10" s="164">
        <v>0</v>
      </c>
      <c r="CW10" s="164">
        <v>0</v>
      </c>
      <c r="CX10" s="126">
        <v>5</v>
      </c>
      <c r="CY10" s="125">
        <v>5</v>
      </c>
      <c r="CZ10" s="164">
        <v>0</v>
      </c>
      <c r="DA10" s="164">
        <v>0</v>
      </c>
      <c r="DB10" s="164">
        <v>0</v>
      </c>
      <c r="DC10" s="126">
        <v>5</v>
      </c>
      <c r="DD10" s="125">
        <v>5</v>
      </c>
      <c r="DE10" s="164">
        <v>0</v>
      </c>
      <c r="DF10" s="164">
        <v>0</v>
      </c>
      <c r="DG10" s="164">
        <v>0</v>
      </c>
      <c r="DH10" s="126">
        <v>5</v>
      </c>
      <c r="DI10" s="125">
        <v>5</v>
      </c>
      <c r="DJ10" s="164">
        <v>0</v>
      </c>
      <c r="DK10" s="164">
        <v>0</v>
      </c>
      <c r="DL10" s="164">
        <v>0</v>
      </c>
      <c r="DM10" s="126">
        <v>5</v>
      </c>
      <c r="DN10" s="125"/>
      <c r="DO10" s="126"/>
      <c r="DP10" s="125"/>
      <c r="DQ10" s="126"/>
      <c r="DR10" s="125"/>
      <c r="DS10" s="126"/>
      <c r="DT10" s="125"/>
      <c r="DU10" s="126"/>
      <c r="DV10" s="125"/>
      <c r="DW10" s="126"/>
      <c r="DX10" s="125"/>
      <c r="DY10" s="126"/>
      <c r="DZ10" s="125"/>
      <c r="EA10" s="126"/>
      <c r="EB10" s="125"/>
      <c r="EC10" s="126"/>
      <c r="ED10" s="125"/>
      <c r="EE10" s="126"/>
      <c r="EF10" s="125"/>
      <c r="EG10" s="126"/>
      <c r="EH10" s="125"/>
      <c r="EI10" s="125"/>
      <c r="EJ10" s="126"/>
      <c r="EK10" s="125"/>
      <c r="EL10" s="126"/>
      <c r="EM10" s="125"/>
      <c r="EN10" s="126"/>
      <c r="EO10" s="125"/>
      <c r="EP10" s="126"/>
    </row>
    <row r="11" spans="1:146" s="52" customFormat="1" ht="14.1">
      <c r="A11" s="123" t="s">
        <v>176</v>
      </c>
      <c r="B11" s="124">
        <v>3</v>
      </c>
      <c r="C11" s="125">
        <f t="shared" si="0"/>
        <v>3</v>
      </c>
      <c r="D11" s="164">
        <v>0</v>
      </c>
      <c r="E11" s="164">
        <v>0</v>
      </c>
      <c r="F11" s="164">
        <v>0</v>
      </c>
      <c r="G11" s="126">
        <v>3</v>
      </c>
      <c r="H11" s="125">
        <f t="shared" si="1"/>
        <v>3</v>
      </c>
      <c r="I11" s="164">
        <v>0</v>
      </c>
      <c r="J11" s="164">
        <v>0</v>
      </c>
      <c r="K11" s="164">
        <v>0</v>
      </c>
      <c r="L11" s="126">
        <v>3</v>
      </c>
      <c r="M11" s="125">
        <f t="shared" si="2"/>
        <v>3</v>
      </c>
      <c r="N11" s="164">
        <v>1</v>
      </c>
      <c r="O11" s="164">
        <v>0</v>
      </c>
      <c r="P11" s="164">
        <v>0</v>
      </c>
      <c r="Q11" s="126">
        <v>2</v>
      </c>
      <c r="R11" s="125">
        <f t="shared" ref="R11:R14" si="5">G11</f>
        <v>3</v>
      </c>
      <c r="S11" s="164">
        <v>0</v>
      </c>
      <c r="T11" s="164">
        <v>0</v>
      </c>
      <c r="U11" s="164">
        <v>0</v>
      </c>
      <c r="V11" s="180">
        <v>3</v>
      </c>
      <c r="W11" s="125">
        <f t="shared" ref="W11" si="6">L11</f>
        <v>3</v>
      </c>
      <c r="X11" s="164">
        <v>1</v>
      </c>
      <c r="Y11" s="164">
        <v>0</v>
      </c>
      <c r="Z11" s="164">
        <v>0</v>
      </c>
      <c r="AA11" s="180">
        <v>2</v>
      </c>
      <c r="AB11" s="125">
        <v>3</v>
      </c>
      <c r="AC11" s="164">
        <v>0</v>
      </c>
      <c r="AD11" s="164">
        <v>0</v>
      </c>
      <c r="AE11" s="164">
        <v>0</v>
      </c>
      <c r="AF11" s="126">
        <v>3</v>
      </c>
      <c r="AG11" s="125">
        <v>3</v>
      </c>
      <c r="AH11" s="164">
        <v>1</v>
      </c>
      <c r="AI11" s="164">
        <v>0</v>
      </c>
      <c r="AJ11" s="164">
        <v>0</v>
      </c>
      <c r="AK11" s="126">
        <v>2</v>
      </c>
      <c r="AL11" s="125">
        <v>3</v>
      </c>
      <c r="AM11" s="164">
        <v>0</v>
      </c>
      <c r="AN11" s="164">
        <v>0</v>
      </c>
      <c r="AO11" s="164">
        <v>0</v>
      </c>
      <c r="AP11" s="125">
        <v>3</v>
      </c>
      <c r="AQ11" s="125">
        <v>3</v>
      </c>
      <c r="AR11" s="164">
        <v>0</v>
      </c>
      <c r="AS11" s="164">
        <v>0</v>
      </c>
      <c r="AT11" s="164">
        <v>0</v>
      </c>
      <c r="AU11" s="125">
        <v>3</v>
      </c>
      <c r="AV11" s="125">
        <v>3</v>
      </c>
      <c r="AW11" s="164">
        <v>0</v>
      </c>
      <c r="AX11" s="164">
        <v>3</v>
      </c>
      <c r="AY11" s="164">
        <v>0</v>
      </c>
      <c r="AZ11" s="126">
        <v>0</v>
      </c>
      <c r="BA11" s="125">
        <v>3</v>
      </c>
      <c r="BB11" s="164">
        <v>0</v>
      </c>
      <c r="BC11" s="164">
        <v>3</v>
      </c>
      <c r="BD11" s="164">
        <v>0</v>
      </c>
      <c r="BE11" s="126">
        <v>0</v>
      </c>
      <c r="BF11" s="125">
        <v>3</v>
      </c>
      <c r="BG11" s="164">
        <v>0</v>
      </c>
      <c r="BH11" s="164">
        <v>0</v>
      </c>
      <c r="BI11" s="164">
        <v>0</v>
      </c>
      <c r="BJ11" s="126">
        <v>0</v>
      </c>
      <c r="BK11" s="125">
        <v>3</v>
      </c>
      <c r="BL11" s="164">
        <v>0</v>
      </c>
      <c r="BM11" s="164">
        <v>0</v>
      </c>
      <c r="BN11" s="164">
        <v>0</v>
      </c>
      <c r="BO11" s="126">
        <v>3</v>
      </c>
      <c r="BP11" s="125">
        <v>3</v>
      </c>
      <c r="BQ11" s="164">
        <v>0</v>
      </c>
      <c r="BR11" s="164">
        <v>0</v>
      </c>
      <c r="BS11" s="164">
        <v>0</v>
      </c>
      <c r="BT11" s="126">
        <v>2</v>
      </c>
      <c r="BU11" s="125">
        <v>3</v>
      </c>
      <c r="BV11" s="164">
        <v>0</v>
      </c>
      <c r="BW11" s="164">
        <v>0</v>
      </c>
      <c r="BX11" s="164">
        <v>0</v>
      </c>
      <c r="BY11" s="126">
        <v>2</v>
      </c>
      <c r="BZ11" s="125">
        <v>3</v>
      </c>
      <c r="CA11" s="164">
        <v>0</v>
      </c>
      <c r="CB11" s="164">
        <v>0</v>
      </c>
      <c r="CC11" s="164">
        <v>0</v>
      </c>
      <c r="CD11" s="126">
        <v>2</v>
      </c>
      <c r="CE11" s="125">
        <v>3</v>
      </c>
      <c r="CF11" s="164">
        <v>0</v>
      </c>
      <c r="CG11" s="164">
        <v>0</v>
      </c>
      <c r="CH11" s="164">
        <v>0</v>
      </c>
      <c r="CI11" s="126">
        <v>3</v>
      </c>
      <c r="CJ11" s="125">
        <v>3</v>
      </c>
      <c r="CK11" s="164">
        <v>0</v>
      </c>
      <c r="CL11" s="164">
        <v>0</v>
      </c>
      <c r="CM11" s="164">
        <v>0</v>
      </c>
      <c r="CN11" s="126">
        <v>3</v>
      </c>
      <c r="CO11" s="125">
        <v>3</v>
      </c>
      <c r="CP11" s="164">
        <v>0</v>
      </c>
      <c r="CQ11" s="164">
        <v>0</v>
      </c>
      <c r="CR11" s="164">
        <v>0</v>
      </c>
      <c r="CS11" s="126">
        <v>2</v>
      </c>
      <c r="CT11" s="125">
        <v>3</v>
      </c>
      <c r="CU11" s="164">
        <v>0</v>
      </c>
      <c r="CV11" s="164">
        <v>0</v>
      </c>
      <c r="CW11" s="164">
        <v>0</v>
      </c>
      <c r="CX11" s="126">
        <v>2</v>
      </c>
      <c r="CY11" s="125">
        <v>0</v>
      </c>
      <c r="CZ11" s="164">
        <v>0</v>
      </c>
      <c r="DA11" s="164">
        <v>0</v>
      </c>
      <c r="DB11" s="164">
        <v>0</v>
      </c>
      <c r="DC11" s="126">
        <v>0</v>
      </c>
      <c r="DD11" s="125">
        <v>0</v>
      </c>
      <c r="DE11" s="164">
        <v>0</v>
      </c>
      <c r="DF11" s="164">
        <v>0</v>
      </c>
      <c r="DG11" s="164">
        <v>0</v>
      </c>
      <c r="DH11" s="126">
        <v>0</v>
      </c>
      <c r="DI11" s="125">
        <v>0</v>
      </c>
      <c r="DJ11" s="164">
        <v>0</v>
      </c>
      <c r="DK11" s="164">
        <v>0</v>
      </c>
      <c r="DL11" s="164">
        <v>0</v>
      </c>
      <c r="DM11" s="126">
        <v>0</v>
      </c>
      <c r="DN11" s="125"/>
      <c r="DO11" s="126"/>
      <c r="DP11" s="125"/>
      <c r="DQ11" s="126"/>
      <c r="DR11" s="125"/>
      <c r="DS11" s="126"/>
      <c r="DT11" s="125"/>
      <c r="DU11" s="126"/>
      <c r="DV11" s="125"/>
      <c r="DW11" s="126"/>
      <c r="DX11" s="125"/>
      <c r="DY11" s="126"/>
      <c r="DZ11" s="125"/>
      <c r="EA11" s="126"/>
      <c r="EB11" s="125"/>
      <c r="EC11" s="126"/>
      <c r="ED11" s="125"/>
      <c r="EE11" s="126"/>
      <c r="EF11" s="125"/>
      <c r="EG11" s="126"/>
      <c r="EH11" s="125"/>
      <c r="EI11" s="125"/>
      <c r="EJ11" s="126"/>
      <c r="EK11" s="125"/>
      <c r="EL11" s="126"/>
      <c r="EM11" s="125"/>
      <c r="EN11" s="126"/>
      <c r="EO11" s="125"/>
      <c r="EP11" s="126"/>
    </row>
    <row r="12" spans="1:146" s="52" customFormat="1" ht="14.1">
      <c r="A12" s="123" t="s">
        <v>177</v>
      </c>
      <c r="B12" s="124">
        <v>5</v>
      </c>
      <c r="C12" s="125">
        <f t="shared" si="0"/>
        <v>5</v>
      </c>
      <c r="D12" s="164">
        <v>0</v>
      </c>
      <c r="E12" s="164">
        <v>0</v>
      </c>
      <c r="F12" s="164">
        <v>0</v>
      </c>
      <c r="G12" s="126">
        <v>3</v>
      </c>
      <c r="H12" s="125">
        <f t="shared" si="1"/>
        <v>5</v>
      </c>
      <c r="I12" s="164">
        <v>0</v>
      </c>
      <c r="J12" s="164">
        <v>0</v>
      </c>
      <c r="K12" s="164">
        <v>0</v>
      </c>
      <c r="L12" s="126">
        <v>5</v>
      </c>
      <c r="M12" s="125">
        <f t="shared" si="2"/>
        <v>5</v>
      </c>
      <c r="N12" s="164">
        <v>1</v>
      </c>
      <c r="O12" s="164">
        <v>0</v>
      </c>
      <c r="P12" s="164">
        <v>0</v>
      </c>
      <c r="Q12" s="126">
        <v>4</v>
      </c>
      <c r="R12" s="125">
        <v>5</v>
      </c>
      <c r="S12" s="164">
        <v>0</v>
      </c>
      <c r="T12" s="164">
        <v>0</v>
      </c>
      <c r="U12" s="164">
        <v>1</v>
      </c>
      <c r="V12" s="179">
        <v>3</v>
      </c>
      <c r="W12" s="125">
        <v>5</v>
      </c>
      <c r="X12" s="164">
        <v>1</v>
      </c>
      <c r="Y12" s="164">
        <v>1</v>
      </c>
      <c r="Z12" s="164">
        <v>0</v>
      </c>
      <c r="AA12" s="179">
        <v>2</v>
      </c>
      <c r="AB12" s="125">
        <v>5</v>
      </c>
      <c r="AC12" s="164">
        <v>0</v>
      </c>
      <c r="AD12" s="164">
        <v>0</v>
      </c>
      <c r="AE12" s="164">
        <v>0</v>
      </c>
      <c r="AF12" s="126">
        <v>5</v>
      </c>
      <c r="AG12" s="125">
        <v>5</v>
      </c>
      <c r="AH12" s="164">
        <v>1</v>
      </c>
      <c r="AI12" s="164">
        <v>0</v>
      </c>
      <c r="AJ12" s="164">
        <v>0</v>
      </c>
      <c r="AK12" s="126">
        <v>4</v>
      </c>
      <c r="AL12" s="125">
        <v>5</v>
      </c>
      <c r="AM12" s="164">
        <v>0</v>
      </c>
      <c r="AN12" s="164">
        <v>0</v>
      </c>
      <c r="AO12" s="164">
        <v>0</v>
      </c>
      <c r="AP12" s="125">
        <v>5</v>
      </c>
      <c r="AQ12" s="125">
        <v>5</v>
      </c>
      <c r="AR12" s="164">
        <v>0</v>
      </c>
      <c r="AS12" s="164">
        <v>0</v>
      </c>
      <c r="AT12" s="164">
        <v>0</v>
      </c>
      <c r="AU12" s="125">
        <v>5</v>
      </c>
      <c r="AV12" s="125">
        <v>5</v>
      </c>
      <c r="AW12" s="164">
        <v>0</v>
      </c>
      <c r="AX12" s="164">
        <v>0</v>
      </c>
      <c r="AY12" s="164">
        <v>0</v>
      </c>
      <c r="AZ12" s="126">
        <v>5</v>
      </c>
      <c r="BA12" s="125">
        <v>5</v>
      </c>
      <c r="BB12" s="164">
        <v>0</v>
      </c>
      <c r="BC12" s="164">
        <v>0</v>
      </c>
      <c r="BD12" s="164">
        <v>0</v>
      </c>
      <c r="BE12" s="126">
        <v>5</v>
      </c>
      <c r="BF12" s="125">
        <v>5</v>
      </c>
      <c r="BG12" s="164">
        <v>0</v>
      </c>
      <c r="BH12" s="164">
        <v>2</v>
      </c>
      <c r="BI12" s="164">
        <v>0</v>
      </c>
      <c r="BJ12" s="126">
        <v>3</v>
      </c>
      <c r="BK12" s="125">
        <v>5</v>
      </c>
      <c r="BL12" s="164">
        <v>0</v>
      </c>
      <c r="BM12" s="164">
        <v>0</v>
      </c>
      <c r="BN12" s="164">
        <v>0</v>
      </c>
      <c r="BO12" s="126">
        <v>5</v>
      </c>
      <c r="BP12" s="125">
        <v>5</v>
      </c>
      <c r="BQ12" s="164">
        <v>0</v>
      </c>
      <c r="BR12" s="164">
        <v>2</v>
      </c>
      <c r="BS12" s="164">
        <v>0</v>
      </c>
      <c r="BT12" s="126">
        <v>3</v>
      </c>
      <c r="BU12" s="125">
        <v>5</v>
      </c>
      <c r="BV12" s="164">
        <v>0</v>
      </c>
      <c r="BW12" s="164">
        <v>5</v>
      </c>
      <c r="BX12" s="164">
        <v>0</v>
      </c>
      <c r="BY12" s="126">
        <v>0</v>
      </c>
      <c r="BZ12" s="125">
        <v>5</v>
      </c>
      <c r="CA12" s="164">
        <v>0</v>
      </c>
      <c r="CB12" s="164">
        <v>2</v>
      </c>
      <c r="CC12" s="164">
        <v>0</v>
      </c>
      <c r="CD12" s="126">
        <v>3</v>
      </c>
      <c r="CE12" s="125">
        <v>5</v>
      </c>
      <c r="CF12" s="164">
        <v>0</v>
      </c>
      <c r="CG12" s="164">
        <v>0</v>
      </c>
      <c r="CH12" s="164">
        <v>0</v>
      </c>
      <c r="CI12" s="126">
        <v>5</v>
      </c>
      <c r="CJ12" s="125">
        <v>5</v>
      </c>
      <c r="CK12" s="164">
        <v>0</v>
      </c>
      <c r="CL12" s="164">
        <v>0</v>
      </c>
      <c r="CM12" s="164">
        <v>0</v>
      </c>
      <c r="CN12" s="126">
        <v>5</v>
      </c>
      <c r="CO12" s="125">
        <v>5</v>
      </c>
      <c r="CP12" s="164">
        <v>0</v>
      </c>
      <c r="CQ12" s="164">
        <v>0</v>
      </c>
      <c r="CR12" s="164">
        <v>0</v>
      </c>
      <c r="CS12" s="126">
        <v>5</v>
      </c>
      <c r="CT12" s="125">
        <v>5</v>
      </c>
      <c r="CU12" s="164">
        <v>0</v>
      </c>
      <c r="CV12" s="164">
        <v>0</v>
      </c>
      <c r="CW12" s="164">
        <v>0</v>
      </c>
      <c r="CX12" s="126">
        <v>5</v>
      </c>
      <c r="CY12" s="125">
        <v>5</v>
      </c>
      <c r="CZ12" s="164">
        <v>0</v>
      </c>
      <c r="DA12" s="164">
        <v>0</v>
      </c>
      <c r="DB12" s="164">
        <v>0</v>
      </c>
      <c r="DC12" s="126">
        <v>5</v>
      </c>
      <c r="DD12" s="125">
        <v>5</v>
      </c>
      <c r="DE12" s="164">
        <v>0</v>
      </c>
      <c r="DF12" s="164">
        <v>0</v>
      </c>
      <c r="DG12" s="164">
        <v>0</v>
      </c>
      <c r="DH12" s="126">
        <v>5</v>
      </c>
      <c r="DI12" s="125">
        <v>5</v>
      </c>
      <c r="DJ12" s="164">
        <v>0</v>
      </c>
      <c r="DK12" s="164">
        <v>0</v>
      </c>
      <c r="DL12" s="164">
        <v>0</v>
      </c>
      <c r="DM12" s="126">
        <v>5</v>
      </c>
      <c r="DN12" s="125"/>
      <c r="DO12" s="126"/>
      <c r="DP12" s="125"/>
      <c r="DQ12" s="126"/>
      <c r="DR12" s="125"/>
      <c r="DS12" s="126"/>
      <c r="DT12" s="125"/>
      <c r="DU12" s="126"/>
      <c r="DV12" s="125"/>
      <c r="DW12" s="126"/>
      <c r="DX12" s="125"/>
      <c r="DY12" s="126"/>
      <c r="DZ12" s="125"/>
      <c r="EA12" s="126"/>
      <c r="EB12" s="125"/>
      <c r="EC12" s="126"/>
      <c r="ED12" s="125"/>
      <c r="EE12" s="126"/>
      <c r="EF12" s="125"/>
      <c r="EG12" s="126"/>
      <c r="EH12" s="125"/>
      <c r="EI12" s="125"/>
      <c r="EJ12" s="126"/>
      <c r="EK12" s="125"/>
      <c r="EL12" s="126"/>
      <c r="EM12" s="125"/>
      <c r="EN12" s="126"/>
      <c r="EO12" s="125"/>
      <c r="EP12" s="126"/>
    </row>
    <row r="13" spans="1:146" s="52" customFormat="1" ht="14.1">
      <c r="A13" s="123" t="s">
        <v>178</v>
      </c>
      <c r="B13" s="124">
        <v>5</v>
      </c>
      <c r="C13" s="125">
        <f t="shared" si="0"/>
        <v>5</v>
      </c>
      <c r="D13" s="164">
        <v>0</v>
      </c>
      <c r="E13" s="164">
        <v>0</v>
      </c>
      <c r="F13" s="164">
        <v>0</v>
      </c>
      <c r="G13" s="126">
        <v>5</v>
      </c>
      <c r="H13" s="125">
        <f t="shared" si="1"/>
        <v>5</v>
      </c>
      <c r="I13" s="164">
        <v>0</v>
      </c>
      <c r="J13" s="164">
        <v>0</v>
      </c>
      <c r="K13" s="164">
        <v>0</v>
      </c>
      <c r="L13" s="126">
        <v>5</v>
      </c>
      <c r="M13" s="125">
        <f t="shared" si="2"/>
        <v>5</v>
      </c>
      <c r="N13" s="164">
        <v>1</v>
      </c>
      <c r="O13" s="164">
        <v>0</v>
      </c>
      <c r="P13" s="164">
        <v>0</v>
      </c>
      <c r="Q13" s="126">
        <v>4</v>
      </c>
      <c r="R13" s="125">
        <f t="shared" si="5"/>
        <v>5</v>
      </c>
      <c r="S13" s="164">
        <v>0</v>
      </c>
      <c r="T13" s="164">
        <v>0</v>
      </c>
      <c r="U13" s="164">
        <v>0</v>
      </c>
      <c r="V13" s="180">
        <v>5</v>
      </c>
      <c r="W13" s="125">
        <f t="shared" ref="W13:W14" si="7">L13</f>
        <v>5</v>
      </c>
      <c r="X13" s="164">
        <v>1</v>
      </c>
      <c r="Y13" s="164">
        <v>0</v>
      </c>
      <c r="Z13" s="164">
        <v>0</v>
      </c>
      <c r="AA13" s="180">
        <v>4</v>
      </c>
      <c r="AB13" s="125">
        <v>5</v>
      </c>
      <c r="AC13" s="164">
        <v>0</v>
      </c>
      <c r="AD13" s="164">
        <v>0</v>
      </c>
      <c r="AE13" s="164">
        <v>0</v>
      </c>
      <c r="AF13" s="126">
        <v>5</v>
      </c>
      <c r="AG13" s="125">
        <v>5</v>
      </c>
      <c r="AH13" s="164">
        <v>1</v>
      </c>
      <c r="AI13" s="164">
        <v>0</v>
      </c>
      <c r="AJ13" s="164">
        <v>0</v>
      </c>
      <c r="AK13" s="126">
        <v>4</v>
      </c>
      <c r="AL13" s="125">
        <v>5</v>
      </c>
      <c r="AM13" s="164">
        <v>0</v>
      </c>
      <c r="AN13" s="164">
        <v>0</v>
      </c>
      <c r="AO13" s="164">
        <v>0</v>
      </c>
      <c r="AP13" s="125">
        <v>5</v>
      </c>
      <c r="AQ13" s="125">
        <v>5</v>
      </c>
      <c r="AR13" s="164">
        <v>0</v>
      </c>
      <c r="AS13" s="164">
        <v>0</v>
      </c>
      <c r="AT13" s="164">
        <v>0</v>
      </c>
      <c r="AU13" s="125">
        <v>5</v>
      </c>
      <c r="AV13" s="125">
        <v>5</v>
      </c>
      <c r="AW13" s="164">
        <v>0</v>
      </c>
      <c r="AX13" s="164">
        <v>0</v>
      </c>
      <c r="AY13" s="164">
        <v>0</v>
      </c>
      <c r="AZ13" s="126">
        <v>5</v>
      </c>
      <c r="BA13" s="125">
        <v>5</v>
      </c>
      <c r="BB13" s="164">
        <v>0</v>
      </c>
      <c r="BC13" s="164">
        <v>0</v>
      </c>
      <c r="BD13" s="164">
        <v>0</v>
      </c>
      <c r="BE13" s="126">
        <v>5</v>
      </c>
      <c r="BF13" s="125">
        <v>5</v>
      </c>
      <c r="BG13" s="164">
        <v>0</v>
      </c>
      <c r="BH13" s="164">
        <v>2</v>
      </c>
      <c r="BI13" s="164">
        <v>0</v>
      </c>
      <c r="BJ13" s="126">
        <v>3</v>
      </c>
      <c r="BK13" s="125">
        <v>5</v>
      </c>
      <c r="BL13" s="164">
        <v>0</v>
      </c>
      <c r="BM13" s="164">
        <v>2</v>
      </c>
      <c r="BN13" s="164">
        <v>0</v>
      </c>
      <c r="BO13" s="126">
        <v>3</v>
      </c>
      <c r="BP13" s="125">
        <v>5</v>
      </c>
      <c r="BQ13" s="164">
        <v>0</v>
      </c>
      <c r="BR13" s="164">
        <v>0</v>
      </c>
      <c r="BS13" s="164">
        <v>3</v>
      </c>
      <c r="BT13" s="126">
        <v>2</v>
      </c>
      <c r="BU13" s="125">
        <v>5</v>
      </c>
      <c r="BV13" s="164">
        <v>2</v>
      </c>
      <c r="BW13" s="164">
        <v>0</v>
      </c>
      <c r="BX13" s="164">
        <v>0</v>
      </c>
      <c r="BY13" s="126">
        <v>3</v>
      </c>
      <c r="BZ13" s="125">
        <v>5</v>
      </c>
      <c r="CA13" s="164">
        <v>0</v>
      </c>
      <c r="CB13" s="164">
        <v>0</v>
      </c>
      <c r="CC13" s="164">
        <v>0</v>
      </c>
      <c r="CD13" s="126">
        <v>5</v>
      </c>
      <c r="CE13" s="125">
        <v>5</v>
      </c>
      <c r="CF13" s="164">
        <v>0</v>
      </c>
      <c r="CG13" s="164">
        <v>0</v>
      </c>
      <c r="CH13" s="164">
        <v>0</v>
      </c>
      <c r="CI13" s="126">
        <v>5</v>
      </c>
      <c r="CJ13" s="125">
        <v>5</v>
      </c>
      <c r="CK13" s="164">
        <v>0</v>
      </c>
      <c r="CL13" s="164">
        <v>5</v>
      </c>
      <c r="CM13" s="164">
        <v>0</v>
      </c>
      <c r="CN13" s="126">
        <v>0</v>
      </c>
      <c r="CO13" s="125">
        <v>5</v>
      </c>
      <c r="CP13" s="164">
        <v>0</v>
      </c>
      <c r="CQ13" s="164">
        <v>5</v>
      </c>
      <c r="CR13" s="164">
        <v>0</v>
      </c>
      <c r="CS13" s="126">
        <v>0</v>
      </c>
      <c r="CT13" s="125">
        <v>5</v>
      </c>
      <c r="CU13" s="164">
        <v>0</v>
      </c>
      <c r="CV13" s="164">
        <v>0</v>
      </c>
      <c r="CW13" s="164">
        <v>0</v>
      </c>
      <c r="CX13" s="126">
        <v>5</v>
      </c>
      <c r="CY13" s="125">
        <v>5</v>
      </c>
      <c r="CZ13" s="164">
        <v>0</v>
      </c>
      <c r="DA13" s="164">
        <v>0</v>
      </c>
      <c r="DB13" s="164">
        <v>0</v>
      </c>
      <c r="DC13" s="126">
        <v>5</v>
      </c>
      <c r="DD13" s="125">
        <v>5</v>
      </c>
      <c r="DE13" s="164">
        <v>0</v>
      </c>
      <c r="DF13" s="164">
        <v>0</v>
      </c>
      <c r="DG13" s="164">
        <v>0</v>
      </c>
      <c r="DH13" s="126">
        <v>5</v>
      </c>
      <c r="DI13" s="125">
        <v>5</v>
      </c>
      <c r="DJ13" s="164">
        <v>0</v>
      </c>
      <c r="DK13" s="164">
        <v>0</v>
      </c>
      <c r="DL13" s="164">
        <v>0</v>
      </c>
      <c r="DM13" s="126">
        <v>5</v>
      </c>
      <c r="DN13" s="125"/>
      <c r="DO13" s="126"/>
      <c r="DP13" s="125"/>
      <c r="DQ13" s="126"/>
      <c r="DR13" s="125"/>
      <c r="DS13" s="126"/>
      <c r="DT13" s="125"/>
      <c r="DU13" s="126"/>
      <c r="DV13" s="125"/>
      <c r="DW13" s="126"/>
      <c r="DX13" s="125"/>
      <c r="DY13" s="126"/>
      <c r="DZ13" s="125"/>
      <c r="EA13" s="126"/>
      <c r="EB13" s="125"/>
      <c r="EC13" s="126"/>
      <c r="ED13" s="125"/>
      <c r="EE13" s="126"/>
      <c r="EF13" s="125"/>
      <c r="EG13" s="126"/>
      <c r="EH13" s="125"/>
      <c r="EI13" s="125"/>
      <c r="EJ13" s="126"/>
      <c r="EK13" s="125"/>
      <c r="EL13" s="126"/>
      <c r="EM13" s="125"/>
      <c r="EN13" s="126"/>
      <c r="EO13" s="125"/>
      <c r="EP13" s="126"/>
    </row>
    <row r="14" spans="1:146" s="52" customFormat="1" ht="14.1">
      <c r="A14" s="123" t="s">
        <v>127</v>
      </c>
      <c r="B14" s="124">
        <v>4</v>
      </c>
      <c r="C14" s="125">
        <f t="shared" si="0"/>
        <v>4</v>
      </c>
      <c r="D14" s="164">
        <v>0</v>
      </c>
      <c r="E14" s="164">
        <v>0</v>
      </c>
      <c r="F14" s="164">
        <v>0</v>
      </c>
      <c r="G14" s="126">
        <v>4</v>
      </c>
      <c r="H14" s="125">
        <f t="shared" si="1"/>
        <v>4</v>
      </c>
      <c r="I14" s="164">
        <v>0</v>
      </c>
      <c r="J14" s="164">
        <v>0</v>
      </c>
      <c r="K14" s="164">
        <v>0</v>
      </c>
      <c r="L14" s="126">
        <v>4</v>
      </c>
      <c r="M14" s="125">
        <f t="shared" si="2"/>
        <v>4</v>
      </c>
      <c r="N14" s="164">
        <v>1</v>
      </c>
      <c r="O14" s="164">
        <v>1</v>
      </c>
      <c r="P14" s="164">
        <v>0</v>
      </c>
      <c r="Q14" s="126">
        <v>2</v>
      </c>
      <c r="R14" s="125">
        <f t="shared" si="5"/>
        <v>4</v>
      </c>
      <c r="S14" s="164">
        <v>0</v>
      </c>
      <c r="T14" s="164">
        <v>0</v>
      </c>
      <c r="U14" s="164">
        <v>0</v>
      </c>
      <c r="V14" s="180">
        <v>4</v>
      </c>
      <c r="W14" s="125">
        <f t="shared" si="7"/>
        <v>4</v>
      </c>
      <c r="X14" s="164">
        <v>1</v>
      </c>
      <c r="Y14" s="164">
        <v>0</v>
      </c>
      <c r="Z14" s="164">
        <v>0</v>
      </c>
      <c r="AA14" s="180">
        <v>3</v>
      </c>
      <c r="AB14" s="125">
        <v>4</v>
      </c>
      <c r="AC14" s="164">
        <v>0</v>
      </c>
      <c r="AD14" s="164">
        <v>0</v>
      </c>
      <c r="AE14" s="164">
        <v>0</v>
      </c>
      <c r="AF14" s="126">
        <v>4</v>
      </c>
      <c r="AG14" s="125">
        <v>4</v>
      </c>
      <c r="AH14" s="164">
        <v>1</v>
      </c>
      <c r="AI14" s="164">
        <v>0</v>
      </c>
      <c r="AJ14" s="164">
        <v>0</v>
      </c>
      <c r="AK14" s="126">
        <v>3</v>
      </c>
      <c r="AL14" s="125">
        <v>4</v>
      </c>
      <c r="AM14" s="164">
        <v>0</v>
      </c>
      <c r="AN14" s="164">
        <v>0</v>
      </c>
      <c r="AO14" s="164">
        <v>0</v>
      </c>
      <c r="AP14" s="125">
        <v>4</v>
      </c>
      <c r="AQ14" s="125">
        <v>4</v>
      </c>
      <c r="AR14" s="164">
        <v>0</v>
      </c>
      <c r="AS14" s="164">
        <v>0</v>
      </c>
      <c r="AT14" s="164">
        <v>0</v>
      </c>
      <c r="AU14" s="125">
        <v>4</v>
      </c>
      <c r="AV14" s="125">
        <v>4</v>
      </c>
      <c r="AW14" s="164">
        <v>0</v>
      </c>
      <c r="AX14" s="164">
        <v>0</v>
      </c>
      <c r="AY14" s="164">
        <v>0</v>
      </c>
      <c r="AZ14" s="126">
        <v>4</v>
      </c>
      <c r="BA14" s="125">
        <v>4</v>
      </c>
      <c r="BB14" s="164">
        <v>0</v>
      </c>
      <c r="BC14" s="164">
        <v>1</v>
      </c>
      <c r="BD14" s="164">
        <v>0</v>
      </c>
      <c r="BE14" s="126">
        <v>3</v>
      </c>
      <c r="BF14" s="125">
        <v>4</v>
      </c>
      <c r="BG14" s="164">
        <v>0</v>
      </c>
      <c r="BH14" s="164">
        <v>0</v>
      </c>
      <c r="BI14" s="164">
        <v>0</v>
      </c>
      <c r="BJ14" s="126">
        <v>4</v>
      </c>
      <c r="BK14" s="125">
        <v>4</v>
      </c>
      <c r="BL14" s="164">
        <v>0</v>
      </c>
      <c r="BM14" s="164">
        <v>0</v>
      </c>
      <c r="BN14" s="164">
        <v>0</v>
      </c>
      <c r="BO14" s="126">
        <v>4</v>
      </c>
      <c r="BP14" s="125">
        <v>4</v>
      </c>
      <c r="BQ14" s="164">
        <v>0</v>
      </c>
      <c r="BR14" s="164">
        <v>0</v>
      </c>
      <c r="BS14" s="164">
        <v>0</v>
      </c>
      <c r="BT14" s="126">
        <v>4</v>
      </c>
      <c r="BU14" s="125">
        <v>4</v>
      </c>
      <c r="BV14" s="164">
        <v>0</v>
      </c>
      <c r="BW14" s="164">
        <v>0</v>
      </c>
      <c r="BX14" s="164">
        <v>0</v>
      </c>
      <c r="BY14" s="126">
        <v>4</v>
      </c>
      <c r="BZ14" s="125">
        <v>4</v>
      </c>
      <c r="CA14" s="164">
        <v>0</v>
      </c>
      <c r="CB14" s="164">
        <v>1</v>
      </c>
      <c r="CC14" s="164">
        <v>0</v>
      </c>
      <c r="CD14" s="126">
        <v>3</v>
      </c>
      <c r="CE14" s="125">
        <v>0</v>
      </c>
      <c r="CF14" s="164">
        <v>0</v>
      </c>
      <c r="CG14" s="164">
        <v>0</v>
      </c>
      <c r="CH14" s="164">
        <v>0</v>
      </c>
      <c r="CI14" s="126">
        <v>0</v>
      </c>
      <c r="CJ14" s="125">
        <v>0</v>
      </c>
      <c r="CK14" s="164">
        <v>0</v>
      </c>
      <c r="CL14" s="164">
        <v>0</v>
      </c>
      <c r="CM14" s="164">
        <v>0</v>
      </c>
      <c r="CN14" s="126">
        <v>0</v>
      </c>
      <c r="CO14" s="125">
        <v>0</v>
      </c>
      <c r="CP14" s="164">
        <v>0</v>
      </c>
      <c r="CQ14" s="164">
        <v>0</v>
      </c>
      <c r="CR14" s="164">
        <v>0</v>
      </c>
      <c r="CS14" s="126">
        <v>0</v>
      </c>
      <c r="CT14" s="125">
        <v>2</v>
      </c>
      <c r="CU14" s="164">
        <v>0</v>
      </c>
      <c r="CV14" s="164">
        <v>0</v>
      </c>
      <c r="CW14" s="164">
        <v>0</v>
      </c>
      <c r="CX14" s="126">
        <v>2</v>
      </c>
      <c r="CY14" s="125">
        <v>4</v>
      </c>
      <c r="CZ14" s="164">
        <v>0</v>
      </c>
      <c r="DA14" s="164">
        <v>0</v>
      </c>
      <c r="DB14" s="164">
        <v>0</v>
      </c>
      <c r="DC14" s="126">
        <v>4</v>
      </c>
      <c r="DD14" s="125">
        <v>4</v>
      </c>
      <c r="DE14" s="164">
        <v>0</v>
      </c>
      <c r="DF14" s="164">
        <v>0</v>
      </c>
      <c r="DG14" s="164">
        <v>0</v>
      </c>
      <c r="DH14" s="126">
        <v>4</v>
      </c>
      <c r="DI14" s="125">
        <v>3</v>
      </c>
      <c r="DJ14" s="164">
        <v>0</v>
      </c>
      <c r="DK14" s="164">
        <v>0</v>
      </c>
      <c r="DL14" s="164">
        <v>0</v>
      </c>
      <c r="DM14" s="126">
        <v>3</v>
      </c>
      <c r="DN14" s="125"/>
      <c r="DO14" s="126"/>
      <c r="DP14" s="125"/>
      <c r="DQ14" s="126"/>
      <c r="DR14" s="125"/>
      <c r="DS14" s="126"/>
      <c r="DT14" s="125"/>
      <c r="DU14" s="126"/>
      <c r="DV14" s="125"/>
      <c r="DW14" s="126"/>
      <c r="DX14" s="125"/>
      <c r="DY14" s="126"/>
      <c r="DZ14" s="125"/>
      <c r="EA14" s="126"/>
      <c r="EB14" s="125"/>
      <c r="EC14" s="126"/>
      <c r="ED14" s="125"/>
      <c r="EE14" s="126"/>
      <c r="EF14" s="125"/>
      <c r="EG14" s="126"/>
      <c r="EH14" s="125"/>
      <c r="EI14" s="125"/>
      <c r="EJ14" s="126"/>
      <c r="EK14" s="125"/>
      <c r="EL14" s="126"/>
      <c r="EM14" s="125"/>
      <c r="EN14" s="126"/>
      <c r="EO14" s="125"/>
      <c r="EP14" s="126"/>
    </row>
    <row r="15" spans="1:146" s="131" customFormat="1" ht="14.1">
      <c r="A15" s="127" t="s">
        <v>179</v>
      </c>
      <c r="B15" s="128">
        <f t="shared" ref="B15:H15" si="8">SUM(B4:B14)</f>
        <v>48</v>
      </c>
      <c r="C15" s="129">
        <f t="shared" si="8"/>
        <v>48</v>
      </c>
      <c r="D15" s="129">
        <f t="shared" si="8"/>
        <v>0</v>
      </c>
      <c r="E15" s="129">
        <f t="shared" si="8"/>
        <v>0</v>
      </c>
      <c r="F15" s="129">
        <f t="shared" si="8"/>
        <v>0</v>
      </c>
      <c r="G15" s="130">
        <f t="shared" si="8"/>
        <v>45</v>
      </c>
      <c r="H15" s="129">
        <f t="shared" si="8"/>
        <v>48</v>
      </c>
      <c r="I15" s="165"/>
      <c r="J15" s="165"/>
      <c r="K15" s="165"/>
      <c r="L15" s="130">
        <f>SUM(L4:L14)</f>
        <v>48</v>
      </c>
      <c r="M15" s="129">
        <f>SUM(M4:M14)</f>
        <v>43</v>
      </c>
      <c r="N15" s="165">
        <f t="shared" ref="N15:P15" si="9">SUM(N4:N14)</f>
        <v>9</v>
      </c>
      <c r="O15" s="165">
        <f t="shared" si="9"/>
        <v>1</v>
      </c>
      <c r="P15" s="165">
        <f t="shared" si="9"/>
        <v>0</v>
      </c>
      <c r="Q15" s="130">
        <f>SUM(Q4:Q14)</f>
        <v>33</v>
      </c>
      <c r="R15" s="129">
        <f>SUM(R4:R14)</f>
        <v>40</v>
      </c>
      <c r="S15" s="165">
        <f t="shared" ref="S15:U15" si="10">SUM(S4:S14)</f>
        <v>0</v>
      </c>
      <c r="T15" s="165">
        <f t="shared" si="10"/>
        <v>0</v>
      </c>
      <c r="U15" s="165">
        <f t="shared" si="10"/>
        <v>1</v>
      </c>
      <c r="V15" s="130">
        <f>SUM(V4:V14)</f>
        <v>38</v>
      </c>
      <c r="W15" s="129">
        <f>SUM(W4:W14)</f>
        <v>40</v>
      </c>
      <c r="X15" s="165">
        <f t="shared" ref="X15:Z15" si="11">SUM(X4:X14)</f>
        <v>9</v>
      </c>
      <c r="Y15" s="165">
        <f t="shared" si="11"/>
        <v>4</v>
      </c>
      <c r="Z15" s="165">
        <f t="shared" si="11"/>
        <v>0</v>
      </c>
      <c r="AA15" s="130">
        <f>SUM(AA4:AA14)</f>
        <v>27</v>
      </c>
      <c r="AB15" s="129">
        <f t="shared" ref="AB15:BE15" si="12">SUM(AB4:AB14)</f>
        <v>39</v>
      </c>
      <c r="AC15" s="165">
        <f>SUM(AC4:AC14)</f>
        <v>0</v>
      </c>
      <c r="AD15" s="165">
        <f>SUM(AD4:AD14)</f>
        <v>0</v>
      </c>
      <c r="AE15" s="165">
        <f>SUM(AE4:AE14)</f>
        <v>0</v>
      </c>
      <c r="AF15" s="130">
        <f t="shared" si="12"/>
        <v>39</v>
      </c>
      <c r="AG15" s="129">
        <f t="shared" ref="AG15" si="13">SUM(AG4:AG14)</f>
        <v>41</v>
      </c>
      <c r="AH15" s="165">
        <f>SUM(AH4:AH14)</f>
        <v>9</v>
      </c>
      <c r="AI15" s="165">
        <f>SUM(AI4:AI14)</f>
        <v>0</v>
      </c>
      <c r="AJ15" s="165">
        <f>SUM(AJ4:AJ14)</f>
        <v>0</v>
      </c>
      <c r="AK15" s="130">
        <f t="shared" ref="AK15:AL15" si="14">SUM(AK4:AK14)</f>
        <v>32</v>
      </c>
      <c r="AL15" s="129">
        <f t="shared" si="14"/>
        <v>43</v>
      </c>
      <c r="AM15" s="165">
        <f>SUM(AM4:AM14)</f>
        <v>0</v>
      </c>
      <c r="AN15" s="165">
        <f>SUM(AN4:AN14)</f>
        <v>0</v>
      </c>
      <c r="AO15" s="165">
        <f>SUM(AO4:AO14)</f>
        <v>0</v>
      </c>
      <c r="AP15" s="130">
        <f t="shared" ref="AP15" si="15">SUM(AP4:AP14)</f>
        <v>43</v>
      </c>
      <c r="AQ15" s="129">
        <f>SUM(AQ4:AQ14)</f>
        <v>43</v>
      </c>
      <c r="AR15" s="165">
        <f>SUM(AR4:AR14)</f>
        <v>0</v>
      </c>
      <c r="AS15" s="165">
        <f>SUM(AS4:AS14)</f>
        <v>0</v>
      </c>
      <c r="AT15" s="165">
        <f>SUM(AT4:AT14)</f>
        <v>0</v>
      </c>
      <c r="AU15" s="130">
        <f t="shared" ref="AU15" si="16">SUM(AU4:AU14)</f>
        <v>43</v>
      </c>
      <c r="AV15" s="129">
        <f t="shared" si="12"/>
        <v>43</v>
      </c>
      <c r="AW15" s="129">
        <f t="shared" si="12"/>
        <v>0</v>
      </c>
      <c r="AX15" s="129">
        <f t="shared" si="12"/>
        <v>3</v>
      </c>
      <c r="AY15" s="129">
        <f t="shared" si="12"/>
        <v>0</v>
      </c>
      <c r="AZ15" s="130">
        <f t="shared" si="12"/>
        <v>40</v>
      </c>
      <c r="BA15" s="129">
        <f t="shared" si="12"/>
        <v>43</v>
      </c>
      <c r="BB15" s="165">
        <f>SUM(BB4:BB14)</f>
        <v>0</v>
      </c>
      <c r="BC15" s="165">
        <f t="shared" ref="BC15:BD15" si="17">SUM(BC4:BC14)</f>
        <v>4</v>
      </c>
      <c r="BD15" s="165">
        <f t="shared" si="17"/>
        <v>1</v>
      </c>
      <c r="BE15" s="130">
        <f t="shared" si="12"/>
        <v>38</v>
      </c>
      <c r="BF15" s="129">
        <f t="shared" ref="BF15" si="18">SUM(BF4:BF14)</f>
        <v>43</v>
      </c>
      <c r="BG15" s="165">
        <f>SUM(BG4:BG14)</f>
        <v>0</v>
      </c>
      <c r="BH15" s="165">
        <f t="shared" ref="BH15:BK15" si="19">SUM(BH4:BH14)</f>
        <v>4</v>
      </c>
      <c r="BI15" s="165">
        <f t="shared" si="19"/>
        <v>0</v>
      </c>
      <c r="BJ15" s="130">
        <f t="shared" si="19"/>
        <v>36</v>
      </c>
      <c r="BK15" s="129">
        <f t="shared" si="19"/>
        <v>43</v>
      </c>
      <c r="BL15" s="165">
        <f>SUM(BL4:BL14)</f>
        <v>0</v>
      </c>
      <c r="BM15" s="165">
        <f t="shared" ref="BM15:BP15" si="20">SUM(BM4:BM14)</f>
        <v>2</v>
      </c>
      <c r="BN15" s="165">
        <f t="shared" si="20"/>
        <v>0</v>
      </c>
      <c r="BO15" s="130">
        <f t="shared" si="20"/>
        <v>40.5</v>
      </c>
      <c r="BP15" s="129">
        <f t="shared" si="20"/>
        <v>43</v>
      </c>
      <c r="BQ15" s="165">
        <f>SUM(BQ4:BQ14)</f>
        <v>0</v>
      </c>
      <c r="BR15" s="165">
        <f t="shared" ref="BR15:BS15" si="21">SUM(BR4:BR14)</f>
        <v>7</v>
      </c>
      <c r="BS15" s="165">
        <f t="shared" si="21"/>
        <v>4</v>
      </c>
      <c r="BT15" s="130">
        <f>SUM(BT4:BT14)</f>
        <v>31</v>
      </c>
      <c r="BU15" s="129">
        <f>SUM(BU4:BU14)</f>
        <v>43</v>
      </c>
      <c r="BV15" s="165">
        <f>SUM(BV4:BV14)</f>
        <v>3</v>
      </c>
      <c r="BW15" s="165">
        <f t="shared" ref="BW15:BX15" si="22">SUM(BW4:BW14)</f>
        <v>9</v>
      </c>
      <c r="BX15" s="165">
        <f t="shared" si="22"/>
        <v>0</v>
      </c>
      <c r="BY15" s="130">
        <f>SUM(BY4:BY14)</f>
        <v>30</v>
      </c>
      <c r="BZ15" s="129">
        <f>SUM(BZ4:BZ14)</f>
        <v>43</v>
      </c>
      <c r="CA15" s="165">
        <f>SUM(CA4:CA14)</f>
        <v>0</v>
      </c>
      <c r="CB15" s="165">
        <f t="shared" ref="CB15:CC15" si="23">SUM(CB4:CB14)</f>
        <v>12</v>
      </c>
      <c r="CC15" s="165">
        <f t="shared" si="23"/>
        <v>3</v>
      </c>
      <c r="CD15" s="130">
        <f>SUM(CD4:CD14)</f>
        <v>27</v>
      </c>
      <c r="CE15" s="129">
        <f>SUM(CE4:CE14)</f>
        <v>42</v>
      </c>
      <c r="CF15" s="165">
        <f>SUM(CF4:CF14)</f>
        <v>0</v>
      </c>
      <c r="CG15" s="165">
        <f t="shared" ref="CG15:CH15" si="24">SUM(CG4:CG14)</f>
        <v>14</v>
      </c>
      <c r="CH15" s="165">
        <f t="shared" si="24"/>
        <v>0</v>
      </c>
      <c r="CI15" s="130">
        <f>SUM(CI4:CI14)</f>
        <v>28</v>
      </c>
      <c r="CJ15" s="129">
        <f>SUM(CJ4:CJ14)</f>
        <v>43</v>
      </c>
      <c r="CK15" s="165">
        <f>SUM(CK4:CK14)</f>
        <v>0</v>
      </c>
      <c r="CL15" s="165">
        <f t="shared" ref="CL15:CM15" si="25">SUM(CL4:CL14)</f>
        <v>17</v>
      </c>
      <c r="CM15" s="165">
        <f t="shared" si="25"/>
        <v>2</v>
      </c>
      <c r="CN15" s="130">
        <f t="shared" ref="CN15:CS15" si="26">SUM(CN4:CN14)</f>
        <v>24</v>
      </c>
      <c r="CO15" s="129">
        <f t="shared" si="26"/>
        <v>42</v>
      </c>
      <c r="CP15" s="165">
        <f t="shared" si="26"/>
        <v>0</v>
      </c>
      <c r="CQ15" s="165">
        <f t="shared" si="26"/>
        <v>10</v>
      </c>
      <c r="CR15" s="165">
        <f t="shared" si="26"/>
        <v>0</v>
      </c>
      <c r="CS15" s="130">
        <f t="shared" si="26"/>
        <v>29</v>
      </c>
      <c r="CT15" s="129">
        <f t="shared" ref="CT15:EJ15" si="27">SUM(CT4:CT14)</f>
        <v>44</v>
      </c>
      <c r="CU15" s="165">
        <f>SUM(CU4:CU14)</f>
        <v>0</v>
      </c>
      <c r="CV15" s="165">
        <f>SUM(CV4:CV14)</f>
        <v>4</v>
      </c>
      <c r="CW15" s="165">
        <f>SUM(CW4:CW14)</f>
        <v>0</v>
      </c>
      <c r="CX15" s="130">
        <f t="shared" si="27"/>
        <v>38</v>
      </c>
      <c r="CY15" s="129">
        <f t="shared" si="27"/>
        <v>43</v>
      </c>
      <c r="CZ15" s="165">
        <f>SUM(CZ4:CZ14)</f>
        <v>0</v>
      </c>
      <c r="DA15" s="165">
        <f>SUM(DA4:DA14)</f>
        <v>0</v>
      </c>
      <c r="DB15" s="165">
        <f>SUM(DB4:DB14)</f>
        <v>0</v>
      </c>
      <c r="DC15" s="130">
        <f t="shared" si="27"/>
        <v>39</v>
      </c>
      <c r="DD15" s="129">
        <f t="shared" si="27"/>
        <v>44</v>
      </c>
      <c r="DE15" s="165">
        <f>SUM(DE4:DE14)</f>
        <v>0</v>
      </c>
      <c r="DF15" s="165">
        <f>SUM(DF4:DF14)</f>
        <v>0</v>
      </c>
      <c r="DG15" s="165">
        <f>SUM(DG4:DG14)</f>
        <v>0</v>
      </c>
      <c r="DH15" s="130">
        <f t="shared" si="27"/>
        <v>41</v>
      </c>
      <c r="DI15" s="129">
        <f t="shared" ref="DI15" si="28">SUM(DI4:DI14)</f>
        <v>43</v>
      </c>
      <c r="DJ15" s="165">
        <f>SUM(DJ4:DJ14)</f>
        <v>0</v>
      </c>
      <c r="DK15" s="165">
        <f>SUM(DK4:DK14)</f>
        <v>0</v>
      </c>
      <c r="DL15" s="165">
        <f>SUM(DL4:DL14)</f>
        <v>0</v>
      </c>
      <c r="DM15" s="130">
        <f t="shared" ref="DM15" si="29">SUM(DM4:DM14)</f>
        <v>41</v>
      </c>
      <c r="DN15" s="129">
        <f t="shared" si="27"/>
        <v>0</v>
      </c>
      <c r="DO15" s="130">
        <f t="shared" si="27"/>
        <v>0</v>
      </c>
      <c r="DP15" s="129">
        <f t="shared" si="27"/>
        <v>0</v>
      </c>
      <c r="DQ15" s="130">
        <f t="shared" si="27"/>
        <v>0</v>
      </c>
      <c r="DR15" s="129">
        <f t="shared" si="27"/>
        <v>0</v>
      </c>
      <c r="DS15" s="130">
        <f t="shared" si="27"/>
        <v>0</v>
      </c>
      <c r="DT15" s="129">
        <f t="shared" si="27"/>
        <v>0</v>
      </c>
      <c r="DU15" s="130">
        <f t="shared" si="27"/>
        <v>0</v>
      </c>
      <c r="DV15" s="129">
        <f t="shared" si="27"/>
        <v>0</v>
      </c>
      <c r="DW15" s="130">
        <f t="shared" si="27"/>
        <v>0</v>
      </c>
      <c r="DX15" s="129">
        <f t="shared" si="27"/>
        <v>0</v>
      </c>
      <c r="DY15" s="130">
        <f t="shared" si="27"/>
        <v>0</v>
      </c>
      <c r="DZ15" s="129">
        <f t="shared" si="27"/>
        <v>0</v>
      </c>
      <c r="EA15" s="130">
        <f t="shared" si="27"/>
        <v>0</v>
      </c>
      <c r="EB15" s="129">
        <f t="shared" si="27"/>
        <v>0</v>
      </c>
      <c r="EC15" s="130">
        <f t="shared" si="27"/>
        <v>0</v>
      </c>
      <c r="ED15" s="129">
        <f t="shared" si="27"/>
        <v>0</v>
      </c>
      <c r="EE15" s="130">
        <f t="shared" si="27"/>
        <v>0</v>
      </c>
      <c r="EF15" s="129">
        <f t="shared" si="27"/>
        <v>0</v>
      </c>
      <c r="EG15" s="130">
        <f t="shared" si="27"/>
        <v>0</v>
      </c>
      <c r="EH15" s="129">
        <f t="shared" si="27"/>
        <v>0</v>
      </c>
      <c r="EI15" s="129">
        <f t="shared" si="27"/>
        <v>0</v>
      </c>
      <c r="EJ15" s="130">
        <f t="shared" si="27"/>
        <v>0</v>
      </c>
      <c r="EK15" s="129">
        <f t="shared" ref="EK15:EP15" si="30">SUM(EK4:EK14)</f>
        <v>0</v>
      </c>
      <c r="EL15" s="130">
        <f t="shared" si="30"/>
        <v>0</v>
      </c>
      <c r="EM15" s="129">
        <f t="shared" si="30"/>
        <v>0</v>
      </c>
      <c r="EN15" s="130">
        <f t="shared" si="30"/>
        <v>0</v>
      </c>
      <c r="EO15" s="129">
        <f t="shared" si="30"/>
        <v>0</v>
      </c>
      <c r="EP15" s="130">
        <f t="shared" si="30"/>
        <v>0</v>
      </c>
    </row>
    <row r="16" spans="1:146" ht="14.1">
      <c r="A16" s="166" t="s">
        <v>180</v>
      </c>
      <c r="D16" s="132"/>
      <c r="F16" s="133"/>
      <c r="G16" s="168">
        <f>G15/C15</f>
        <v>0.9375</v>
      </c>
      <c r="H16" s="133"/>
      <c r="I16" s="133"/>
      <c r="J16" s="133"/>
      <c r="K16" s="133"/>
      <c r="L16" s="167">
        <f>L15/H15</f>
        <v>1</v>
      </c>
      <c r="Q16" s="175">
        <f>Q15/(M15-N15-O15-P15)</f>
        <v>1</v>
      </c>
      <c r="V16" s="175">
        <f>V15/(R15-S15-T15-U15)</f>
        <v>0.97435897435897434</v>
      </c>
      <c r="AA16" s="175">
        <f>AA15/(W15-X15-Y15-Z15)</f>
        <v>1</v>
      </c>
      <c r="AF16" s="175">
        <f>AF15/(AB15-AC15-AD15-AE15)</f>
        <v>1</v>
      </c>
      <c r="AK16" s="175">
        <f>AK15/(AG15-AH15-AI15-AJ15)</f>
        <v>1</v>
      </c>
      <c r="AP16" s="175">
        <f>AP15/(AL15-AM15-AN15-AO15)</f>
        <v>1</v>
      </c>
      <c r="AU16" s="175">
        <f>AU15/(AQ15-AR15-AS15-AT15)</f>
        <v>1</v>
      </c>
      <c r="AZ16" s="134">
        <f>AZ15/(AV15-AW15-AX15-AY15)</f>
        <v>1</v>
      </c>
      <c r="BA16" s="134"/>
      <c r="BB16" s="134"/>
      <c r="BC16" s="134"/>
      <c r="BD16" s="134"/>
      <c r="BE16" s="134">
        <f t="shared" ref="BE16" si="31">BE15/(BA15-BB15-BC15-BD15)</f>
        <v>1</v>
      </c>
      <c r="BF16" s="134"/>
      <c r="BG16" s="134"/>
      <c r="BH16" s="134"/>
      <c r="BI16" s="134"/>
      <c r="BJ16" s="134">
        <f t="shared" ref="BJ16" si="32">BJ15/(BF15-BG15-BH15-BI15)</f>
        <v>0.92307692307692313</v>
      </c>
      <c r="BK16" s="134"/>
      <c r="BL16" s="134"/>
      <c r="BM16" s="134"/>
      <c r="BN16" s="134"/>
      <c r="BO16" s="134">
        <f>BO15/(BK15-BL15-BM15-BN15)</f>
        <v>0.98780487804878048</v>
      </c>
      <c r="BT16" s="134">
        <f>BT15/(BP15-BQ15-BR15-BS15)</f>
        <v>0.96875</v>
      </c>
      <c r="BY16" s="134">
        <f>BY15/(BU15-BV15-BW15-BX15)</f>
        <v>0.967741935483871</v>
      </c>
      <c r="CD16" s="134">
        <f>CD15/(BZ15-CA15-CB15-CC15)</f>
        <v>0.9642857142857143</v>
      </c>
      <c r="CI16" s="134">
        <f>CI15/(CE15-CF15-CG15-CH15)</f>
        <v>1</v>
      </c>
      <c r="CN16" s="134">
        <f>CN15/(CJ15-CK15-CL15-CM15)</f>
        <v>1</v>
      </c>
      <c r="CS16" s="134">
        <f>CS15/(CO15-CP15-CQ15-CR15)</f>
        <v>0.90625</v>
      </c>
      <c r="CX16" s="134">
        <f>CX15/(CT15-CU15-CV15-CW15)</f>
        <v>0.95</v>
      </c>
      <c r="DC16" s="134">
        <f>DC15/(CY15-CZ15-DA15-DB15)</f>
        <v>0.90697674418604646</v>
      </c>
      <c r="DH16" s="134">
        <f>DH15/(DD15-DE15-DF15-DG15)</f>
        <v>0.93181818181818177</v>
      </c>
      <c r="DM16" s="134">
        <f>DM15/(DI15-DJ15-DK15-DL15)</f>
        <v>0.95348837209302328</v>
      </c>
    </row>
    <row r="17" spans="1:72" ht="14.1">
      <c r="D17" s="135"/>
    </row>
    <row r="19" spans="1:72" ht="15.95">
      <c r="A19" s="136" t="s">
        <v>160</v>
      </c>
    </row>
    <row r="20" spans="1:72" ht="45">
      <c r="A20" s="137" t="s">
        <v>181</v>
      </c>
      <c r="B20" s="138" t="s">
        <v>182</v>
      </c>
      <c r="C20" s="139" t="s">
        <v>183</v>
      </c>
      <c r="BJ20" s="205"/>
      <c r="BK20" s="205"/>
      <c r="BL20" s="205"/>
      <c r="BM20" s="205"/>
      <c r="BN20" s="205"/>
      <c r="BO20" s="205"/>
      <c r="BP20" s="205"/>
      <c r="BQ20" s="205"/>
      <c r="BR20" s="205"/>
      <c r="BS20" s="205"/>
      <c r="BT20" s="205"/>
    </row>
    <row r="21" spans="1:72" ht="20.100000000000001">
      <c r="A21" s="140"/>
      <c r="B21" s="141"/>
      <c r="C21" s="142" t="e">
        <f>B21/A21</f>
        <v>#DIV/0!</v>
      </c>
      <c r="D21" s="143"/>
      <c r="BJ21" s="52"/>
      <c r="BK21" s="52"/>
      <c r="BL21" s="52"/>
      <c r="BM21" s="52"/>
      <c r="BN21" s="52"/>
      <c r="BO21" s="52"/>
      <c r="BP21" s="52"/>
      <c r="BQ21" s="52"/>
      <c r="BR21" s="52"/>
      <c r="BS21" s="52"/>
      <c r="BT21" s="52"/>
    </row>
    <row r="22" spans="1:72" ht="12.95">
      <c r="BJ22" s="52"/>
      <c r="BK22" s="52"/>
      <c r="BL22" s="52"/>
      <c r="BM22" s="52"/>
      <c r="BN22" s="52"/>
      <c r="BO22" s="52"/>
      <c r="BP22" s="52"/>
      <c r="BQ22" s="52"/>
      <c r="BR22" s="52"/>
      <c r="BS22" s="52"/>
      <c r="BT22" s="52"/>
    </row>
    <row r="23" spans="1:72" ht="12.95">
      <c r="BJ23" s="52"/>
      <c r="BK23" s="52"/>
      <c r="BL23" s="52"/>
      <c r="BM23" s="52"/>
      <c r="BN23" s="52"/>
      <c r="BO23" s="52"/>
      <c r="BP23" s="52"/>
      <c r="BQ23" s="52"/>
      <c r="BR23" s="52"/>
      <c r="BS23" s="52"/>
      <c r="BT23" s="52"/>
    </row>
    <row r="24" spans="1:72" ht="20.100000000000001">
      <c r="A24" s="117" t="s">
        <v>184</v>
      </c>
      <c r="BJ24" s="52"/>
      <c r="BK24" s="52"/>
      <c r="BL24" s="52"/>
      <c r="BM24" s="52"/>
      <c r="BN24" s="52"/>
      <c r="BO24" s="52"/>
      <c r="BP24" s="52"/>
      <c r="BQ24" s="52"/>
      <c r="BR24" s="52"/>
      <c r="BS24" s="52"/>
      <c r="BT24" s="52"/>
    </row>
    <row r="25" spans="1:72" ht="14.1">
      <c r="F25" s="144" t="s">
        <v>185</v>
      </c>
      <c r="BJ25" s="52"/>
      <c r="BK25" s="52"/>
      <c r="BL25" s="52"/>
      <c r="BM25" s="52"/>
      <c r="BN25" s="52"/>
      <c r="BO25" s="52"/>
      <c r="BP25" s="52"/>
      <c r="BQ25" s="52"/>
      <c r="BR25" s="52"/>
      <c r="BS25" s="52"/>
      <c r="BT25" s="52"/>
    </row>
    <row r="26" spans="1:72" ht="30">
      <c r="A26" s="145"/>
      <c r="B26" s="146" t="s">
        <v>186</v>
      </c>
      <c r="C26" s="147" t="s">
        <v>187</v>
      </c>
      <c r="D26" s="148" t="s">
        <v>188</v>
      </c>
      <c r="BJ26" s="52"/>
      <c r="BK26" s="52"/>
      <c r="BL26" s="52"/>
      <c r="BM26" s="52"/>
      <c r="BN26" s="52"/>
      <c r="BO26" s="52"/>
      <c r="BP26" s="52"/>
      <c r="BQ26" s="52"/>
      <c r="BR26" s="52"/>
      <c r="BS26" s="52"/>
      <c r="BT26" s="52"/>
    </row>
    <row r="27" spans="1:72" ht="14.1">
      <c r="A27" s="149" t="s">
        <v>189</v>
      </c>
      <c r="B27" s="150" t="e">
        <f>#REF!</f>
        <v>#REF!</v>
      </c>
      <c r="C27" s="151">
        <v>77747</v>
      </c>
      <c r="D27" s="152" t="e">
        <f>C27/B27</f>
        <v>#REF!</v>
      </c>
      <c r="BJ27" s="52"/>
      <c r="BK27" s="52"/>
      <c r="BL27" s="52"/>
      <c r="BM27" s="52"/>
      <c r="BN27" s="52"/>
      <c r="BO27" s="52"/>
      <c r="BP27" s="52"/>
      <c r="BQ27" s="52"/>
      <c r="BR27" s="52"/>
      <c r="BS27" s="52"/>
      <c r="BT27" s="52"/>
    </row>
    <row r="28" spans="1:72" ht="14.1">
      <c r="A28" s="153" t="s">
        <v>190</v>
      </c>
      <c r="B28" s="114" t="e">
        <f>#REF!</f>
        <v>#REF!</v>
      </c>
      <c r="C28" s="154">
        <v>112859.3</v>
      </c>
      <c r="D28" s="155" t="e">
        <f t="shared" ref="D28:D39" si="33">C28/B28</f>
        <v>#REF!</v>
      </c>
      <c r="BJ28" s="52"/>
      <c r="BK28" s="52"/>
      <c r="BL28" s="52"/>
      <c r="BM28" s="52"/>
      <c r="BN28" s="52"/>
      <c r="BO28" s="52"/>
      <c r="BP28" s="52"/>
      <c r="BQ28" s="52"/>
      <c r="BR28" s="52"/>
      <c r="BS28" s="52"/>
      <c r="BT28" s="52"/>
    </row>
    <row r="29" spans="1:72" ht="14.1">
      <c r="A29" s="153" t="s">
        <v>191</v>
      </c>
      <c r="B29" s="114" t="e">
        <f>#REF!</f>
        <v>#REF!</v>
      </c>
      <c r="C29" s="154">
        <v>116737.5</v>
      </c>
      <c r="D29" s="155" t="e">
        <f t="shared" si="33"/>
        <v>#REF!</v>
      </c>
      <c r="BJ29" s="52"/>
      <c r="BK29" s="52"/>
      <c r="BL29" s="52"/>
      <c r="BM29" s="52"/>
      <c r="BN29" s="52"/>
      <c r="BO29" s="52"/>
      <c r="BP29" s="52"/>
      <c r="BQ29" s="52"/>
      <c r="BR29" s="52"/>
      <c r="BS29" s="52"/>
      <c r="BT29" s="52"/>
    </row>
    <row r="30" spans="1:72" ht="14.1">
      <c r="A30" s="153" t="s">
        <v>192</v>
      </c>
      <c r="B30" s="114">
        <f>G15</f>
        <v>45</v>
      </c>
      <c r="C30" s="154"/>
      <c r="D30" s="155">
        <f t="shared" si="33"/>
        <v>0</v>
      </c>
      <c r="BJ30" s="52"/>
      <c r="BK30" s="52"/>
      <c r="BL30" s="52"/>
      <c r="BM30" s="52"/>
      <c r="BN30" s="52"/>
      <c r="BO30" s="52"/>
      <c r="BP30" s="52"/>
      <c r="BQ30" s="52"/>
      <c r="BR30" s="52"/>
      <c r="BS30" s="52"/>
      <c r="BT30" s="52"/>
    </row>
    <row r="31" spans="1:72" ht="14.1">
      <c r="A31" s="153" t="s">
        <v>193</v>
      </c>
      <c r="B31" s="114">
        <f>L15</f>
        <v>48</v>
      </c>
      <c r="C31" s="154"/>
      <c r="D31" s="155">
        <f t="shared" si="33"/>
        <v>0</v>
      </c>
      <c r="BJ31" s="52"/>
      <c r="BK31" s="52"/>
      <c r="BL31" s="52"/>
      <c r="BM31" s="52"/>
      <c r="BN31" s="52"/>
      <c r="BO31" s="52"/>
      <c r="BP31" s="52"/>
      <c r="BQ31" s="52"/>
      <c r="BR31" s="52"/>
      <c r="BS31" s="52"/>
      <c r="BT31" s="52"/>
    </row>
    <row r="32" spans="1:72" ht="14.1">
      <c r="A32" s="153" t="s">
        <v>194</v>
      </c>
      <c r="B32" s="114">
        <f>Q15</f>
        <v>33</v>
      </c>
      <c r="C32" s="154"/>
      <c r="D32" s="155">
        <f t="shared" si="33"/>
        <v>0</v>
      </c>
      <c r="BJ32" s="131"/>
      <c r="BK32" s="131"/>
      <c r="BL32" s="131"/>
      <c r="BM32" s="131"/>
      <c r="BN32" s="131"/>
      <c r="BO32" s="131"/>
      <c r="BP32" s="131"/>
      <c r="BQ32" s="131"/>
      <c r="BR32" s="131"/>
      <c r="BS32" s="131"/>
      <c r="BT32" s="131"/>
    </row>
    <row r="33" spans="1:4" ht="14.1">
      <c r="A33" s="153" t="s">
        <v>195</v>
      </c>
      <c r="B33" s="114">
        <f>V15</f>
        <v>38</v>
      </c>
      <c r="C33" s="154"/>
      <c r="D33" s="155">
        <f t="shared" si="33"/>
        <v>0</v>
      </c>
    </row>
    <row r="34" spans="1:4" ht="14.1">
      <c r="A34" s="153" t="s">
        <v>196</v>
      </c>
      <c r="B34" s="114">
        <f>AA15</f>
        <v>27</v>
      </c>
      <c r="C34" s="154"/>
      <c r="D34" s="155">
        <f t="shared" si="33"/>
        <v>0</v>
      </c>
    </row>
    <row r="35" spans="1:4" ht="14.1">
      <c r="A35" s="153" t="s">
        <v>197</v>
      </c>
      <c r="B35" s="114">
        <f>AF15</f>
        <v>39</v>
      </c>
      <c r="C35" s="154"/>
      <c r="D35" s="155">
        <f t="shared" si="33"/>
        <v>0</v>
      </c>
    </row>
    <row r="36" spans="1:4" ht="14.1">
      <c r="A36" s="153" t="s">
        <v>198</v>
      </c>
      <c r="B36" s="114">
        <f>AK15</f>
        <v>32</v>
      </c>
      <c r="C36" s="154"/>
      <c r="D36" s="155">
        <f t="shared" si="33"/>
        <v>0</v>
      </c>
    </row>
    <row r="37" spans="1:4" ht="14.1">
      <c r="A37" s="153" t="s">
        <v>199</v>
      </c>
      <c r="B37" s="114">
        <f>AP15</f>
        <v>43</v>
      </c>
      <c r="C37" s="154"/>
      <c r="D37" s="155">
        <f t="shared" si="33"/>
        <v>0</v>
      </c>
    </row>
    <row r="38" spans="1:4" ht="14.1">
      <c r="A38" s="153" t="s">
        <v>200</v>
      </c>
      <c r="B38" s="114">
        <f>AU15</f>
        <v>43</v>
      </c>
      <c r="C38" s="154"/>
      <c r="D38" s="155">
        <f t="shared" si="33"/>
        <v>0</v>
      </c>
    </row>
    <row r="39" spans="1:4" ht="14.1">
      <c r="A39" s="156" t="s">
        <v>201</v>
      </c>
      <c r="B39" s="157">
        <f>AZ15</f>
        <v>40</v>
      </c>
      <c r="C39" s="158"/>
      <c r="D39" s="159">
        <f t="shared" si="33"/>
        <v>0</v>
      </c>
    </row>
    <row r="40" spans="1:4" ht="14.1">
      <c r="A40" s="160" t="s">
        <v>202</v>
      </c>
      <c r="B40" s="143" t="e">
        <f>SUM(B27:B39)</f>
        <v>#REF!</v>
      </c>
      <c r="C40" s="161">
        <f>SUM(C27:C39)</f>
        <v>307343.8</v>
      </c>
      <c r="D40" s="162" t="e">
        <f>C40/B40</f>
        <v>#REF!</v>
      </c>
    </row>
  </sheetData>
  <phoneticPr fontId="4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A8D63-C557-41EE-9517-D529C2DA2359}">
  <dimension ref="A1:AH54"/>
  <sheetViews>
    <sheetView topLeftCell="D1" zoomScale="82" zoomScaleNormal="115" workbookViewId="0">
      <selection activeCell="A31" sqref="A31"/>
    </sheetView>
  </sheetViews>
  <sheetFormatPr defaultColWidth="12.140625" defaultRowHeight="12.75" customHeight="1"/>
  <cols>
    <col min="1" max="1" width="32.85546875" customWidth="1"/>
    <col min="2" max="2" width="21.140625" customWidth="1"/>
    <col min="3" max="3" width="52.42578125" bestFit="1" customWidth="1"/>
    <col min="4" max="4" width="24" customWidth="1"/>
    <col min="5" max="5" width="17.140625" customWidth="1"/>
    <col min="6" max="6" width="19.42578125" customWidth="1"/>
    <col min="7" max="8" width="17.140625" customWidth="1"/>
    <col min="9" max="9" width="17.140625" hidden="1" customWidth="1"/>
    <col min="10" max="17" width="34.42578125" hidden="1" customWidth="1"/>
    <col min="18" max="31" width="43.42578125" hidden="1" customWidth="1"/>
    <col min="32" max="32" width="43.42578125" customWidth="1"/>
    <col min="33" max="33" width="101" bestFit="1" customWidth="1"/>
  </cols>
  <sheetData>
    <row r="1" spans="1:33" ht="14.1">
      <c r="A1" s="100" t="s">
        <v>203</v>
      </c>
      <c r="B1" s="100" t="s">
        <v>204</v>
      </c>
      <c r="C1" s="100" t="s">
        <v>91</v>
      </c>
      <c r="D1" s="100" t="s">
        <v>205</v>
      </c>
      <c r="E1" s="100" t="s">
        <v>206</v>
      </c>
      <c r="F1" s="100" t="s">
        <v>162</v>
      </c>
      <c r="G1" s="100" t="s">
        <v>207</v>
      </c>
      <c r="H1" s="100" t="s">
        <v>208</v>
      </c>
      <c r="I1" s="100" t="s">
        <v>209</v>
      </c>
      <c r="J1" s="100" t="s">
        <v>210</v>
      </c>
      <c r="K1" s="100" t="s">
        <v>211</v>
      </c>
      <c r="L1" s="100" t="s">
        <v>212</v>
      </c>
      <c r="M1" s="100" t="s">
        <v>213</v>
      </c>
      <c r="N1" s="100" t="s">
        <v>214</v>
      </c>
      <c r="O1" s="100" t="s">
        <v>215</v>
      </c>
      <c r="P1" s="100" t="s">
        <v>216</v>
      </c>
      <c r="Q1" s="100" t="s">
        <v>217</v>
      </c>
      <c r="R1" s="100" t="s">
        <v>217</v>
      </c>
      <c r="S1" s="100" t="s">
        <v>218</v>
      </c>
      <c r="T1" s="100" t="s">
        <v>219</v>
      </c>
      <c r="U1" s="100" t="s">
        <v>220</v>
      </c>
      <c r="V1" s="100" t="s">
        <v>221</v>
      </c>
      <c r="W1" s="100" t="s">
        <v>222</v>
      </c>
      <c r="X1" s="100" t="s">
        <v>223</v>
      </c>
      <c r="Y1" s="100" t="s">
        <v>224</v>
      </c>
      <c r="Z1" s="100" t="s">
        <v>225</v>
      </c>
      <c r="AA1" s="100" t="s">
        <v>226</v>
      </c>
      <c r="AB1" s="100" t="s">
        <v>227</v>
      </c>
      <c r="AC1" s="100" t="s">
        <v>228</v>
      </c>
      <c r="AD1" s="100" t="s">
        <v>229</v>
      </c>
      <c r="AE1" s="100" t="s">
        <v>230</v>
      </c>
      <c r="AF1" s="100" t="s">
        <v>231</v>
      </c>
      <c r="AG1" s="101" t="s">
        <v>232</v>
      </c>
    </row>
    <row r="2" spans="1:33" ht="14.1">
      <c r="A2" s="102" t="s">
        <v>233</v>
      </c>
      <c r="B2" s="102" t="s">
        <v>234</v>
      </c>
      <c r="C2" s="102" t="s">
        <v>234</v>
      </c>
      <c r="D2" s="103" t="s">
        <v>235</v>
      </c>
      <c r="E2" s="104" t="s">
        <v>236</v>
      </c>
      <c r="F2" s="105" t="s">
        <v>174</v>
      </c>
      <c r="G2" s="105" t="s">
        <v>237</v>
      </c>
      <c r="H2" s="105" t="s">
        <v>237</v>
      </c>
      <c r="I2" s="105"/>
      <c r="J2" s="105">
        <v>0</v>
      </c>
      <c r="K2" s="105"/>
      <c r="L2" s="105"/>
      <c r="M2" s="105"/>
      <c r="N2" s="105"/>
      <c r="O2" s="105"/>
      <c r="P2" s="105"/>
      <c r="Q2" s="105"/>
      <c r="R2" s="105"/>
      <c r="S2" s="105"/>
      <c r="T2" s="105"/>
      <c r="U2" s="105">
        <v>0</v>
      </c>
      <c r="V2" s="105"/>
      <c r="W2" s="105"/>
      <c r="X2" s="105"/>
      <c r="Y2" s="105"/>
      <c r="Z2" s="105"/>
      <c r="AA2" s="105">
        <v>2</v>
      </c>
      <c r="AB2" s="105">
        <v>1</v>
      </c>
      <c r="AC2" s="105"/>
      <c r="AD2" s="105"/>
      <c r="AE2" s="105">
        <v>1</v>
      </c>
      <c r="AF2" s="105">
        <v>1</v>
      </c>
      <c r="AG2" s="105" t="s">
        <v>238</v>
      </c>
    </row>
    <row r="3" spans="1:33" ht="14.1">
      <c r="A3" s="103" t="s">
        <v>239</v>
      </c>
      <c r="B3" s="103" t="s">
        <v>234</v>
      </c>
      <c r="C3" s="103"/>
      <c r="D3" s="103"/>
      <c r="E3" s="104" t="s">
        <v>240</v>
      </c>
      <c r="F3" s="105" t="s">
        <v>174</v>
      </c>
      <c r="G3" s="105" t="s">
        <v>237</v>
      </c>
      <c r="H3" s="105" t="s">
        <v>237</v>
      </c>
      <c r="I3" s="105"/>
      <c r="J3" s="105">
        <v>0</v>
      </c>
      <c r="K3" s="105"/>
      <c r="L3" s="105"/>
      <c r="M3" s="105"/>
      <c r="N3" s="105">
        <v>1</v>
      </c>
      <c r="O3" s="105"/>
      <c r="P3" s="105"/>
      <c r="Q3" s="105">
        <v>2</v>
      </c>
      <c r="R3" s="105"/>
      <c r="S3" s="105"/>
      <c r="T3" s="105"/>
      <c r="U3" s="105">
        <v>0</v>
      </c>
      <c r="V3" s="105"/>
      <c r="W3" s="105"/>
      <c r="X3" s="105"/>
      <c r="Y3" s="105"/>
      <c r="Z3" s="105"/>
      <c r="AA3" s="105"/>
      <c r="AB3" s="105">
        <v>1</v>
      </c>
      <c r="AC3" s="105"/>
      <c r="AD3" s="105"/>
      <c r="AE3" s="105"/>
      <c r="AF3" s="105"/>
      <c r="AG3" s="105" t="s">
        <v>241</v>
      </c>
    </row>
    <row r="4" spans="1:33" ht="14.1">
      <c r="A4" s="103" t="s">
        <v>242</v>
      </c>
      <c r="B4" s="103" t="s">
        <v>234</v>
      </c>
      <c r="C4" s="103"/>
      <c r="D4" s="104"/>
      <c r="E4" s="104" t="s">
        <v>240</v>
      </c>
      <c r="F4" s="105" t="s">
        <v>176</v>
      </c>
      <c r="G4" s="105" t="s">
        <v>237</v>
      </c>
      <c r="H4" s="105" t="s">
        <v>237</v>
      </c>
      <c r="I4" s="105"/>
      <c r="J4" s="105">
        <v>1</v>
      </c>
      <c r="K4" s="105"/>
      <c r="L4" s="105"/>
      <c r="M4" s="105"/>
      <c r="N4" s="105"/>
      <c r="O4" s="105"/>
      <c r="P4" s="105"/>
      <c r="Q4" s="105"/>
      <c r="R4" s="105"/>
      <c r="S4" s="105"/>
      <c r="T4" s="105"/>
      <c r="U4" s="105">
        <v>0</v>
      </c>
      <c r="V4" s="105"/>
      <c r="W4" s="105"/>
      <c r="X4" s="105"/>
      <c r="Y4" s="105"/>
      <c r="Z4" s="105"/>
      <c r="AA4" s="105"/>
      <c r="AB4" s="105"/>
      <c r="AC4" s="105"/>
      <c r="AD4" s="105"/>
      <c r="AE4" s="105"/>
      <c r="AF4" s="105"/>
      <c r="AG4" s="105" t="s">
        <v>243</v>
      </c>
    </row>
    <row r="5" spans="1:33" ht="14.1">
      <c r="A5" s="103" t="s">
        <v>244</v>
      </c>
      <c r="B5" s="103" t="s">
        <v>234</v>
      </c>
      <c r="C5" s="103" t="s">
        <v>245</v>
      </c>
      <c r="D5" s="103" t="s">
        <v>235</v>
      </c>
      <c r="E5" s="104" t="s">
        <v>240</v>
      </c>
      <c r="F5" s="105" t="s">
        <v>174</v>
      </c>
      <c r="G5" s="105" t="s">
        <v>237</v>
      </c>
      <c r="H5" s="105" t="s">
        <v>237</v>
      </c>
      <c r="I5" s="105"/>
      <c r="J5" s="105">
        <v>0</v>
      </c>
      <c r="K5" s="105"/>
      <c r="L5" s="105"/>
      <c r="M5" s="105"/>
      <c r="N5" s="105"/>
      <c r="O5" s="105"/>
      <c r="P5" s="105"/>
      <c r="Q5" s="105"/>
      <c r="R5" s="105"/>
      <c r="S5" s="105">
        <v>1</v>
      </c>
      <c r="T5" s="105"/>
      <c r="U5" s="105">
        <v>0</v>
      </c>
      <c r="V5" s="105">
        <v>1</v>
      </c>
      <c r="W5" s="105"/>
      <c r="X5" s="105"/>
      <c r="Y5" s="105"/>
      <c r="Z5" s="105">
        <v>1</v>
      </c>
      <c r="AA5" s="105"/>
      <c r="AB5" s="105"/>
      <c r="AC5" s="105"/>
      <c r="AD5" s="105"/>
      <c r="AE5" s="105"/>
      <c r="AF5" s="105"/>
      <c r="AG5" s="105" t="s">
        <v>246</v>
      </c>
    </row>
    <row r="6" spans="1:33" ht="14.1">
      <c r="A6" s="103" t="s">
        <v>247</v>
      </c>
      <c r="B6" s="103" t="s">
        <v>234</v>
      </c>
      <c r="C6" s="103" t="s">
        <v>248</v>
      </c>
      <c r="D6" s="104" t="s">
        <v>249</v>
      </c>
      <c r="E6" s="104" t="s">
        <v>240</v>
      </c>
      <c r="F6" s="105" t="s">
        <v>172</v>
      </c>
      <c r="G6" s="105" t="s">
        <v>237</v>
      </c>
      <c r="H6" s="105" t="s">
        <v>237</v>
      </c>
      <c r="I6" s="105"/>
      <c r="J6" s="105">
        <v>0</v>
      </c>
      <c r="K6" s="105"/>
      <c r="L6" s="105"/>
      <c r="M6" s="105"/>
      <c r="N6" s="105"/>
      <c r="O6" s="105"/>
      <c r="P6" s="105"/>
      <c r="Q6" s="105"/>
      <c r="R6" s="105"/>
      <c r="S6" s="105">
        <v>1</v>
      </c>
      <c r="T6" s="105"/>
      <c r="U6" s="105">
        <v>0</v>
      </c>
      <c r="V6" s="105"/>
      <c r="W6" s="105"/>
      <c r="X6" s="105"/>
      <c r="Y6" s="105"/>
      <c r="Z6" s="105"/>
      <c r="AA6" s="105"/>
      <c r="AB6" s="105"/>
      <c r="AC6" s="105"/>
      <c r="AD6" s="105"/>
      <c r="AE6" s="105"/>
      <c r="AF6" s="105">
        <v>1</v>
      </c>
      <c r="AG6" s="105" t="s">
        <v>250</v>
      </c>
    </row>
    <row r="7" spans="1:33" ht="14.1">
      <c r="A7" s="103" t="s">
        <v>251</v>
      </c>
      <c r="B7" s="103" t="s">
        <v>234</v>
      </c>
      <c r="C7" s="103" t="s">
        <v>252</v>
      </c>
      <c r="D7" s="104" t="s">
        <v>249</v>
      </c>
      <c r="E7" s="104" t="s">
        <v>240</v>
      </c>
      <c r="F7" s="105" t="s">
        <v>253</v>
      </c>
      <c r="G7" s="105" t="s">
        <v>237</v>
      </c>
      <c r="H7" s="105" t="s">
        <v>237</v>
      </c>
      <c r="I7" s="105"/>
      <c r="J7" s="105">
        <v>1</v>
      </c>
      <c r="K7" s="105"/>
      <c r="L7" s="105"/>
      <c r="M7" s="105"/>
      <c r="N7" s="105"/>
      <c r="O7" s="105"/>
      <c r="P7" s="105"/>
      <c r="Q7" s="105"/>
      <c r="R7" s="105"/>
      <c r="S7" s="105"/>
      <c r="T7" s="105"/>
      <c r="U7" s="105">
        <v>0</v>
      </c>
      <c r="V7" s="105">
        <v>1</v>
      </c>
      <c r="W7" s="105"/>
      <c r="X7" s="105"/>
      <c r="Y7" s="105"/>
      <c r="Z7" s="105">
        <v>1</v>
      </c>
      <c r="AA7" s="105"/>
      <c r="AB7" s="105"/>
      <c r="AC7" s="105"/>
      <c r="AD7" s="105">
        <v>1</v>
      </c>
      <c r="AE7" s="105"/>
      <c r="AF7" s="105">
        <v>1</v>
      </c>
      <c r="AG7" s="105" t="s">
        <v>254</v>
      </c>
    </row>
    <row r="8" spans="1:33" ht="14.1">
      <c r="A8" s="103" t="s">
        <v>255</v>
      </c>
      <c r="B8" s="103" t="s">
        <v>256</v>
      </c>
      <c r="C8" s="103"/>
      <c r="D8" s="103" t="s">
        <v>235</v>
      </c>
      <c r="E8" s="104" t="s">
        <v>240</v>
      </c>
      <c r="F8" s="105" t="s">
        <v>177</v>
      </c>
      <c r="G8" s="105" t="s">
        <v>171</v>
      </c>
      <c r="H8" s="105" t="s">
        <v>237</v>
      </c>
      <c r="I8" s="105"/>
      <c r="J8" s="105">
        <v>1</v>
      </c>
      <c r="K8" s="105"/>
      <c r="L8" s="105">
        <v>0</v>
      </c>
      <c r="M8" s="105">
        <v>1</v>
      </c>
      <c r="N8" s="105"/>
      <c r="O8" s="105">
        <v>2</v>
      </c>
      <c r="P8" s="105">
        <v>1</v>
      </c>
      <c r="Q8" s="105">
        <v>1</v>
      </c>
      <c r="R8" s="105"/>
      <c r="S8" s="105">
        <v>1</v>
      </c>
      <c r="T8" s="105">
        <v>1</v>
      </c>
      <c r="U8" s="105">
        <v>1</v>
      </c>
      <c r="V8" s="105">
        <v>1</v>
      </c>
      <c r="W8" s="105"/>
      <c r="X8" s="105"/>
      <c r="Y8" s="105"/>
      <c r="Z8" s="105"/>
      <c r="AA8" s="105">
        <v>2</v>
      </c>
      <c r="AB8" s="105">
        <v>1</v>
      </c>
      <c r="AC8" s="105"/>
      <c r="AD8" s="105">
        <v>1</v>
      </c>
      <c r="AE8" s="105">
        <v>1</v>
      </c>
      <c r="AF8" s="105">
        <v>1</v>
      </c>
      <c r="AG8" s="105" t="s">
        <v>257</v>
      </c>
    </row>
    <row r="9" spans="1:33" ht="14.1">
      <c r="A9" s="103" t="s">
        <v>258</v>
      </c>
      <c r="B9" s="103" t="s">
        <v>259</v>
      </c>
      <c r="C9" s="103" t="s">
        <v>260</v>
      </c>
      <c r="D9" s="103" t="s">
        <v>235</v>
      </c>
      <c r="E9" s="104" t="s">
        <v>240</v>
      </c>
      <c r="F9" s="105" t="s">
        <v>169</v>
      </c>
      <c r="G9" s="105" t="s">
        <v>261</v>
      </c>
      <c r="H9" s="105" t="s">
        <v>262</v>
      </c>
      <c r="I9" s="105"/>
      <c r="J9" s="105"/>
      <c r="K9" s="105"/>
      <c r="L9" s="105"/>
      <c r="M9" s="105"/>
      <c r="N9" s="105"/>
      <c r="O9" s="105"/>
      <c r="P9" s="105">
        <v>1</v>
      </c>
      <c r="Q9" s="105"/>
      <c r="R9" s="105"/>
      <c r="S9" s="105"/>
      <c r="T9" s="105"/>
      <c r="U9" s="105"/>
      <c r="V9" s="105"/>
      <c r="W9" s="105"/>
      <c r="X9" s="105"/>
      <c r="Y9" s="105"/>
      <c r="Z9" s="105"/>
      <c r="AA9" s="105"/>
      <c r="AB9" s="105"/>
      <c r="AC9" s="105"/>
      <c r="AD9" s="105">
        <v>1</v>
      </c>
      <c r="AE9" s="105"/>
      <c r="AF9" s="105"/>
      <c r="AG9" s="105" t="s">
        <v>263</v>
      </c>
    </row>
    <row r="10" spans="1:33" ht="14.1">
      <c r="A10" s="103" t="s">
        <v>264</v>
      </c>
      <c r="B10" s="103" t="s">
        <v>256</v>
      </c>
      <c r="C10" s="103" t="s">
        <v>265</v>
      </c>
      <c r="D10" s="103" t="s">
        <v>266</v>
      </c>
      <c r="E10" s="104" t="s">
        <v>240</v>
      </c>
      <c r="F10" s="105" t="s">
        <v>171</v>
      </c>
      <c r="G10" s="105" t="s">
        <v>267</v>
      </c>
      <c r="H10" s="105" t="s">
        <v>267</v>
      </c>
      <c r="I10" s="105"/>
      <c r="J10" s="105"/>
      <c r="K10" s="105"/>
      <c r="L10" s="105">
        <v>1</v>
      </c>
      <c r="M10" s="105">
        <v>2</v>
      </c>
      <c r="N10" s="105">
        <v>1</v>
      </c>
      <c r="O10" s="105">
        <v>1</v>
      </c>
      <c r="P10" s="105">
        <v>1</v>
      </c>
      <c r="Q10" s="105">
        <v>1</v>
      </c>
      <c r="R10" s="105"/>
      <c r="S10" s="105"/>
      <c r="T10" s="105">
        <v>0</v>
      </c>
      <c r="U10" s="105">
        <v>1</v>
      </c>
      <c r="V10" s="105"/>
      <c r="W10" s="105"/>
      <c r="X10" s="105">
        <v>1</v>
      </c>
      <c r="Y10" s="105"/>
      <c r="Z10" s="105"/>
      <c r="AA10" s="105"/>
      <c r="AB10" s="105">
        <v>1</v>
      </c>
      <c r="AC10" s="105"/>
      <c r="AD10" s="105"/>
      <c r="AE10" s="105"/>
      <c r="AF10" s="105"/>
      <c r="AG10" s="105" t="s">
        <v>268</v>
      </c>
    </row>
    <row r="11" spans="1:33" ht="14.1">
      <c r="A11" s="103" t="s">
        <v>269</v>
      </c>
      <c r="B11" s="103" t="s">
        <v>234</v>
      </c>
      <c r="C11" s="103"/>
      <c r="D11" s="103" t="s">
        <v>249</v>
      </c>
      <c r="E11" s="104" t="s">
        <v>240</v>
      </c>
      <c r="F11" s="105" t="s">
        <v>261</v>
      </c>
      <c r="G11" s="105" t="s">
        <v>237</v>
      </c>
      <c r="H11" s="105" t="s">
        <v>261</v>
      </c>
      <c r="I11" s="105"/>
      <c r="J11" s="105"/>
      <c r="K11" s="105"/>
      <c r="L11" s="105">
        <v>1</v>
      </c>
      <c r="M11" s="105"/>
      <c r="N11" s="105">
        <v>1</v>
      </c>
      <c r="O11" s="105"/>
      <c r="P11" s="105">
        <v>1</v>
      </c>
      <c r="Q11" s="105">
        <v>1</v>
      </c>
      <c r="R11" s="105"/>
      <c r="S11" s="105"/>
      <c r="T11" s="105"/>
      <c r="U11" s="105"/>
      <c r="V11" s="105"/>
      <c r="W11" s="105">
        <v>1</v>
      </c>
      <c r="X11" s="105">
        <v>1</v>
      </c>
      <c r="Y11" s="105">
        <v>1</v>
      </c>
      <c r="Z11" s="105">
        <v>1</v>
      </c>
      <c r="AA11" s="105"/>
      <c r="AB11" s="105"/>
      <c r="AC11" s="105">
        <v>1</v>
      </c>
      <c r="AD11" s="105">
        <v>1</v>
      </c>
      <c r="AE11" s="105">
        <v>1</v>
      </c>
      <c r="AF11" s="105">
        <v>1</v>
      </c>
      <c r="AG11" s="105" t="s">
        <v>270</v>
      </c>
    </row>
    <row r="12" spans="1:33" s="113" customFormat="1" ht="14.1">
      <c r="A12" s="197" t="s">
        <v>271</v>
      </c>
      <c r="B12" s="197" t="s">
        <v>256</v>
      </c>
      <c r="C12" s="197" t="s">
        <v>272</v>
      </c>
      <c r="D12" s="198" t="s">
        <v>235</v>
      </c>
      <c r="E12" s="198" t="s">
        <v>240</v>
      </c>
      <c r="F12" s="199" t="s">
        <v>273</v>
      </c>
      <c r="G12" s="199" t="s">
        <v>267</v>
      </c>
      <c r="H12" s="199" t="s">
        <v>261</v>
      </c>
      <c r="I12" s="199"/>
      <c r="J12" s="199">
        <v>1</v>
      </c>
      <c r="K12" s="199">
        <v>1</v>
      </c>
      <c r="L12" s="199">
        <v>2</v>
      </c>
      <c r="M12" s="199"/>
      <c r="N12" s="199">
        <v>1</v>
      </c>
      <c r="O12" s="199">
        <v>1</v>
      </c>
      <c r="P12" s="199">
        <v>1</v>
      </c>
      <c r="Q12" s="199">
        <v>2</v>
      </c>
      <c r="R12" s="199"/>
      <c r="S12" s="199"/>
      <c r="T12" s="199"/>
      <c r="U12" s="199"/>
      <c r="V12" s="199"/>
      <c r="W12" s="199"/>
      <c r="X12" s="199"/>
      <c r="Y12" s="199"/>
      <c r="Z12" s="199"/>
      <c r="AA12" s="199"/>
      <c r="AB12" s="199"/>
      <c r="AC12" s="199"/>
      <c r="AD12" s="199"/>
      <c r="AE12" s="199"/>
      <c r="AF12" s="199"/>
      <c r="AG12" s="199" t="s">
        <v>274</v>
      </c>
    </row>
    <row r="13" spans="1:33" ht="14.1">
      <c r="A13" s="103" t="s">
        <v>275</v>
      </c>
      <c r="B13" s="103" t="s">
        <v>234</v>
      </c>
      <c r="C13" s="103" t="s">
        <v>276</v>
      </c>
      <c r="D13" s="104" t="s">
        <v>235</v>
      </c>
      <c r="E13" s="104" t="s">
        <v>240</v>
      </c>
      <c r="F13" s="105" t="s">
        <v>169</v>
      </c>
      <c r="G13" s="105" t="s">
        <v>261</v>
      </c>
      <c r="H13" s="105" t="s">
        <v>261</v>
      </c>
      <c r="I13" s="105"/>
      <c r="J13" s="105"/>
      <c r="K13" s="105"/>
      <c r="L13" s="105"/>
      <c r="M13" s="105"/>
      <c r="N13" s="105"/>
      <c r="O13" s="105"/>
      <c r="P13" s="105"/>
      <c r="Q13" s="105">
        <v>1</v>
      </c>
      <c r="R13" s="105"/>
      <c r="S13" s="105"/>
      <c r="T13" s="105"/>
      <c r="U13" s="105"/>
      <c r="V13" s="105"/>
      <c r="W13" s="105"/>
      <c r="X13" s="105"/>
      <c r="Y13" s="105"/>
      <c r="Z13" s="105"/>
      <c r="AA13" s="105"/>
      <c r="AB13" s="105"/>
      <c r="AC13" s="105"/>
      <c r="AD13" s="105"/>
      <c r="AE13" s="105"/>
      <c r="AF13" s="105"/>
      <c r="AG13" s="105" t="s">
        <v>263</v>
      </c>
    </row>
    <row r="14" spans="1:33" ht="14.1">
      <c r="A14" s="103" t="s">
        <v>277</v>
      </c>
      <c r="B14" s="103" t="s">
        <v>234</v>
      </c>
      <c r="C14" s="103"/>
      <c r="D14" s="104" t="s">
        <v>235</v>
      </c>
      <c r="E14" s="104" t="s">
        <v>240</v>
      </c>
      <c r="F14" s="105" t="s">
        <v>169</v>
      </c>
      <c r="G14" s="105" t="s">
        <v>261</v>
      </c>
      <c r="H14" s="105" t="s">
        <v>261</v>
      </c>
      <c r="I14" s="105"/>
      <c r="J14" s="105"/>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row>
    <row r="15" spans="1:33" ht="14.1">
      <c r="A15" s="103" t="s">
        <v>278</v>
      </c>
      <c r="B15" s="103" t="s">
        <v>234</v>
      </c>
      <c r="C15" s="103"/>
      <c r="D15" s="103" t="s">
        <v>249</v>
      </c>
      <c r="E15" s="104" t="s">
        <v>279</v>
      </c>
      <c r="F15" s="105" t="s">
        <v>175</v>
      </c>
      <c r="G15" s="105" t="s">
        <v>261</v>
      </c>
      <c r="H15" s="105" t="s">
        <v>261</v>
      </c>
      <c r="I15" s="105">
        <v>1</v>
      </c>
      <c r="J15" s="105"/>
      <c r="K15" s="105"/>
      <c r="L15" s="105">
        <v>1</v>
      </c>
      <c r="M15" s="105">
        <v>1</v>
      </c>
      <c r="N15" s="105">
        <v>1</v>
      </c>
      <c r="O15" s="105">
        <v>1</v>
      </c>
      <c r="P15" s="105">
        <v>1</v>
      </c>
      <c r="Q15" s="105"/>
      <c r="R15" s="105"/>
      <c r="S15" s="105"/>
      <c r="T15" s="105"/>
      <c r="U15" s="105"/>
      <c r="V15" s="105"/>
      <c r="W15" s="105">
        <v>1</v>
      </c>
      <c r="X15" s="105">
        <v>1</v>
      </c>
      <c r="Y15" s="105"/>
      <c r="Z15" s="105"/>
      <c r="AA15" s="105"/>
      <c r="AB15" s="105"/>
      <c r="AC15" s="105"/>
      <c r="AD15" s="105">
        <v>1</v>
      </c>
      <c r="AE15" s="105">
        <v>1</v>
      </c>
      <c r="AF15" s="105">
        <v>1</v>
      </c>
      <c r="AG15" s="105"/>
    </row>
    <row r="16" spans="1:33" ht="14.1">
      <c r="A16" s="103" t="s">
        <v>280</v>
      </c>
      <c r="B16" s="103" t="s">
        <v>234</v>
      </c>
      <c r="C16" s="103" t="s">
        <v>245</v>
      </c>
      <c r="D16" s="103" t="s">
        <v>235</v>
      </c>
      <c r="E16" s="104" t="s">
        <v>240</v>
      </c>
      <c r="F16" s="105" t="s">
        <v>169</v>
      </c>
      <c r="G16" s="105" t="s">
        <v>261</v>
      </c>
      <c r="H16" s="105" t="s">
        <v>261</v>
      </c>
      <c r="I16" s="105"/>
      <c r="J16" s="105"/>
      <c r="K16" s="105"/>
      <c r="L16" s="105"/>
      <c r="M16" s="105"/>
      <c r="N16" s="105"/>
      <c r="O16" s="105"/>
      <c r="P16" s="105"/>
      <c r="Q16" s="105">
        <v>1</v>
      </c>
      <c r="R16" s="105"/>
      <c r="S16" s="105"/>
      <c r="T16" s="105">
        <v>1</v>
      </c>
      <c r="U16" s="105"/>
      <c r="V16" s="105"/>
      <c r="W16" s="105"/>
      <c r="X16" s="105"/>
      <c r="Y16" s="105"/>
      <c r="Z16" s="105"/>
      <c r="AA16" s="105"/>
      <c r="AB16" s="105"/>
      <c r="AC16" s="105"/>
      <c r="AD16" s="105"/>
      <c r="AE16" s="105"/>
      <c r="AF16" s="105"/>
      <c r="AG16" s="105" t="s">
        <v>263</v>
      </c>
    </row>
    <row r="17" spans="1:34" ht="14.1">
      <c r="A17" s="103" t="s">
        <v>281</v>
      </c>
      <c r="B17" s="103" t="s">
        <v>256</v>
      </c>
      <c r="C17" s="103" t="s">
        <v>282</v>
      </c>
      <c r="D17" s="104" t="s">
        <v>235</v>
      </c>
      <c r="E17" s="104" t="s">
        <v>240</v>
      </c>
      <c r="F17" s="105" t="s">
        <v>169</v>
      </c>
      <c r="G17" s="105" t="s">
        <v>261</v>
      </c>
      <c r="H17" s="105" t="s">
        <v>261</v>
      </c>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t="s">
        <v>283</v>
      </c>
    </row>
    <row r="18" spans="1:34" ht="14.1">
      <c r="A18" s="103" t="s">
        <v>284</v>
      </c>
      <c r="B18" s="103" t="s">
        <v>234</v>
      </c>
      <c r="C18" s="103"/>
      <c r="D18" s="103" t="s">
        <v>235</v>
      </c>
      <c r="E18" s="104" t="s">
        <v>236</v>
      </c>
      <c r="F18" s="105" t="s">
        <v>175</v>
      </c>
      <c r="G18" s="105" t="s">
        <v>261</v>
      </c>
      <c r="H18" s="212" t="s">
        <v>261</v>
      </c>
      <c r="I18" s="212">
        <v>1</v>
      </c>
      <c r="J18" s="212"/>
      <c r="K18" s="212"/>
      <c r="L18" s="212"/>
      <c r="M18" s="212"/>
      <c r="N18" s="212"/>
      <c r="O18" s="212"/>
      <c r="P18" s="212"/>
      <c r="Q18" s="212"/>
      <c r="R18" s="212"/>
      <c r="S18" s="212"/>
      <c r="T18" s="212"/>
      <c r="U18" s="212"/>
      <c r="V18" s="212"/>
      <c r="W18" s="212"/>
      <c r="X18" s="212"/>
      <c r="Y18" s="212"/>
      <c r="Z18" s="212"/>
      <c r="AA18" s="212"/>
      <c r="AB18" s="212"/>
      <c r="AC18" s="212"/>
      <c r="AD18" s="212"/>
      <c r="AE18" s="212"/>
      <c r="AF18" s="212"/>
      <c r="AG18" s="105" t="s">
        <v>285</v>
      </c>
    </row>
    <row r="19" spans="1:34" ht="14.1">
      <c r="A19" s="103" t="s">
        <v>286</v>
      </c>
      <c r="B19" s="103" t="s">
        <v>256</v>
      </c>
      <c r="C19" s="103" t="s">
        <v>287</v>
      </c>
      <c r="D19" s="103" t="s">
        <v>235</v>
      </c>
      <c r="E19" s="104" t="s">
        <v>240</v>
      </c>
      <c r="F19" s="105" t="s">
        <v>178</v>
      </c>
      <c r="G19" s="105" t="s">
        <v>171</v>
      </c>
      <c r="H19" s="105" t="s">
        <v>171</v>
      </c>
      <c r="I19" s="105"/>
      <c r="J19" s="105"/>
      <c r="K19" s="105"/>
      <c r="L19" s="105">
        <v>1</v>
      </c>
      <c r="M19" s="105">
        <v>1</v>
      </c>
      <c r="N19" s="105"/>
      <c r="O19" s="105">
        <v>1</v>
      </c>
      <c r="P19" s="105">
        <v>2</v>
      </c>
      <c r="Q19" s="105">
        <v>1</v>
      </c>
      <c r="R19" s="105"/>
      <c r="S19" s="105">
        <v>1</v>
      </c>
      <c r="T19" s="105">
        <v>2</v>
      </c>
      <c r="U19" s="105">
        <v>1</v>
      </c>
      <c r="V19" s="105"/>
      <c r="W19" s="105"/>
      <c r="X19" s="105">
        <v>1</v>
      </c>
      <c r="Y19" s="105">
        <v>1</v>
      </c>
      <c r="Z19" s="105">
        <v>1</v>
      </c>
      <c r="AA19" s="105"/>
      <c r="AB19" s="105"/>
      <c r="AC19" s="105"/>
      <c r="AD19" s="105">
        <v>1</v>
      </c>
      <c r="AE19" s="105"/>
      <c r="AF19" s="105">
        <v>1</v>
      </c>
      <c r="AG19" s="105" t="s">
        <v>288</v>
      </c>
      <c r="AH19" t="s">
        <v>289</v>
      </c>
    </row>
    <row r="20" spans="1:34" s="113" customFormat="1" ht="14.1">
      <c r="A20" s="197" t="s">
        <v>290</v>
      </c>
      <c r="B20" s="197" t="s">
        <v>291</v>
      </c>
      <c r="C20" s="197"/>
      <c r="D20" s="197"/>
      <c r="E20" s="198" t="s">
        <v>236</v>
      </c>
      <c r="F20" s="199" t="s">
        <v>178</v>
      </c>
      <c r="G20" s="199" t="s">
        <v>171</v>
      </c>
      <c r="H20" s="199" t="s">
        <v>171</v>
      </c>
      <c r="I20" s="199">
        <v>1</v>
      </c>
      <c r="J20" s="199"/>
      <c r="K20" s="199"/>
      <c r="L20" s="199"/>
      <c r="M20" s="199"/>
      <c r="N20" s="199"/>
      <c r="O20" s="199"/>
      <c r="P20" s="199"/>
      <c r="Q20" s="199"/>
      <c r="R20" s="199"/>
      <c r="S20" s="199"/>
      <c r="T20" s="199"/>
      <c r="U20" s="199"/>
      <c r="V20" s="199"/>
      <c r="W20" s="199"/>
      <c r="X20" s="199"/>
      <c r="Y20" s="199"/>
      <c r="Z20" s="199"/>
      <c r="AA20" s="199"/>
      <c r="AB20" s="199"/>
      <c r="AC20" s="199"/>
      <c r="AD20" s="199"/>
      <c r="AE20" s="199"/>
      <c r="AF20" s="199"/>
      <c r="AG20" s="199" t="s">
        <v>292</v>
      </c>
    </row>
    <row r="21" spans="1:34" ht="14.1">
      <c r="A21" s="103" t="s">
        <v>293</v>
      </c>
      <c r="B21" s="103" t="s">
        <v>256</v>
      </c>
      <c r="C21" s="103" t="s">
        <v>294</v>
      </c>
      <c r="D21" s="103" t="s">
        <v>235</v>
      </c>
      <c r="E21" s="104" t="s">
        <v>240</v>
      </c>
      <c r="F21" s="105" t="s">
        <v>178</v>
      </c>
      <c r="G21" s="105" t="s">
        <v>171</v>
      </c>
      <c r="H21" s="105" t="s">
        <v>171</v>
      </c>
      <c r="I21" s="105"/>
      <c r="J21" s="105"/>
      <c r="K21" s="105">
        <v>1</v>
      </c>
      <c r="L21" s="105">
        <v>1</v>
      </c>
      <c r="M21" s="105">
        <v>1</v>
      </c>
      <c r="N21" s="105"/>
      <c r="O21" s="105"/>
      <c r="P21" s="105">
        <v>1</v>
      </c>
      <c r="Q21" s="105"/>
      <c r="R21" s="105"/>
      <c r="S21" s="105">
        <v>0</v>
      </c>
      <c r="T21" s="105"/>
      <c r="U21" s="105">
        <v>0</v>
      </c>
      <c r="V21" s="105">
        <v>1</v>
      </c>
      <c r="W21" s="105"/>
      <c r="X21" s="105"/>
      <c r="Y21" s="105"/>
      <c r="Z21" s="105"/>
      <c r="AA21" s="105">
        <v>1</v>
      </c>
      <c r="AB21" s="105"/>
      <c r="AC21" s="105"/>
      <c r="AD21" s="105"/>
      <c r="AE21" s="105">
        <v>1</v>
      </c>
      <c r="AF21" s="105"/>
      <c r="AG21" s="105" t="s">
        <v>295</v>
      </c>
    </row>
    <row r="22" spans="1:34" s="113" customFormat="1" ht="14.1">
      <c r="A22" s="197" t="s">
        <v>296</v>
      </c>
      <c r="B22" s="197" t="s">
        <v>256</v>
      </c>
      <c r="C22" s="197" t="s">
        <v>297</v>
      </c>
      <c r="D22" s="197" t="s">
        <v>249</v>
      </c>
      <c r="E22" s="198" t="s">
        <v>240</v>
      </c>
      <c r="F22" s="199" t="s">
        <v>298</v>
      </c>
      <c r="G22" s="199" t="s">
        <v>171</v>
      </c>
      <c r="H22" s="199" t="s">
        <v>171</v>
      </c>
      <c r="I22" s="199"/>
      <c r="J22" s="199">
        <v>2</v>
      </c>
      <c r="K22" s="199">
        <v>1</v>
      </c>
      <c r="L22" s="199">
        <v>1</v>
      </c>
      <c r="M22" s="199"/>
      <c r="N22" s="199"/>
      <c r="O22" s="199"/>
      <c r="P22" s="199"/>
      <c r="Q22" s="199">
        <v>1</v>
      </c>
      <c r="R22" s="199"/>
      <c r="S22" s="199"/>
      <c r="T22" s="199"/>
      <c r="U22" s="199"/>
      <c r="V22" s="199"/>
      <c r="W22" s="199"/>
      <c r="X22" s="199"/>
      <c r="Y22" s="199"/>
      <c r="Z22" s="199"/>
      <c r="AA22" s="199"/>
      <c r="AB22" s="199"/>
      <c r="AC22" s="199"/>
      <c r="AD22" s="199"/>
      <c r="AE22" s="199"/>
      <c r="AF22" s="199"/>
      <c r="AG22" s="199" t="s">
        <v>299</v>
      </c>
    </row>
    <row r="23" spans="1:34" s="113" customFormat="1" ht="14.1">
      <c r="A23" s="197" t="s">
        <v>300</v>
      </c>
      <c r="B23" s="197" t="s">
        <v>256</v>
      </c>
      <c r="C23" s="197" t="s">
        <v>272</v>
      </c>
      <c r="D23" s="197" t="s">
        <v>249</v>
      </c>
      <c r="E23" s="198" t="s">
        <v>240</v>
      </c>
      <c r="F23" s="199" t="s">
        <v>298</v>
      </c>
      <c r="G23" s="199" t="s">
        <v>171</v>
      </c>
      <c r="H23" s="199" t="s">
        <v>171</v>
      </c>
      <c r="I23" s="199"/>
      <c r="J23" s="199">
        <v>2</v>
      </c>
      <c r="K23" s="199">
        <v>1</v>
      </c>
      <c r="L23" s="199"/>
      <c r="M23" s="199"/>
      <c r="N23" s="199"/>
      <c r="O23" s="199">
        <v>1</v>
      </c>
      <c r="P23" s="199">
        <v>1</v>
      </c>
      <c r="Q23" s="199">
        <v>1</v>
      </c>
      <c r="R23" s="199"/>
      <c r="S23" s="199"/>
      <c r="T23" s="199"/>
      <c r="U23" s="199"/>
      <c r="V23" s="199"/>
      <c r="W23" s="199"/>
      <c r="X23" s="199"/>
      <c r="Y23" s="199"/>
      <c r="Z23" s="199"/>
      <c r="AA23" s="199"/>
      <c r="AB23" s="199"/>
      <c r="AC23" s="199"/>
      <c r="AD23" s="199">
        <v>1</v>
      </c>
      <c r="AE23" s="199"/>
      <c r="AF23" s="199"/>
      <c r="AG23" s="199" t="s">
        <v>301</v>
      </c>
    </row>
    <row r="24" spans="1:34" ht="14.1">
      <c r="A24" s="103" t="s">
        <v>302</v>
      </c>
      <c r="B24" s="103" t="s">
        <v>256</v>
      </c>
      <c r="C24" s="103" t="s">
        <v>303</v>
      </c>
      <c r="D24" s="104" t="s">
        <v>235</v>
      </c>
      <c r="E24" s="104" t="s">
        <v>236</v>
      </c>
      <c r="F24" s="105" t="s">
        <v>304</v>
      </c>
      <c r="G24" s="105" t="s">
        <v>171</v>
      </c>
      <c r="H24" s="105" t="s">
        <v>305</v>
      </c>
      <c r="I24" s="105">
        <v>1</v>
      </c>
      <c r="J24" s="105">
        <v>3</v>
      </c>
      <c r="K24" s="105"/>
      <c r="L24" s="105">
        <v>3</v>
      </c>
      <c r="M24" s="105">
        <v>3</v>
      </c>
      <c r="N24" s="105"/>
      <c r="O24" s="105">
        <v>3</v>
      </c>
      <c r="P24" s="105">
        <v>5</v>
      </c>
      <c r="Q24" s="105">
        <v>4</v>
      </c>
      <c r="R24" s="105"/>
      <c r="S24" s="105">
        <v>3</v>
      </c>
      <c r="T24" s="105">
        <v>4</v>
      </c>
      <c r="U24" s="105">
        <v>4</v>
      </c>
      <c r="V24" s="105">
        <v>2</v>
      </c>
      <c r="W24" s="105"/>
      <c r="X24" s="105">
        <v>3</v>
      </c>
      <c r="Y24" s="105">
        <v>1</v>
      </c>
      <c r="Z24" s="105">
        <v>1</v>
      </c>
      <c r="AA24" s="105">
        <v>3</v>
      </c>
      <c r="AB24" s="105"/>
      <c r="AC24" s="105"/>
      <c r="AD24" s="105">
        <v>3</v>
      </c>
      <c r="AE24" s="105">
        <v>4</v>
      </c>
      <c r="AF24" s="105">
        <v>2</v>
      </c>
      <c r="AG24" s="105" t="s">
        <v>306</v>
      </c>
    </row>
    <row r="25" spans="1:34" ht="14.1">
      <c r="A25" s="103" t="s">
        <v>307</v>
      </c>
      <c r="B25" s="103" t="s">
        <v>256</v>
      </c>
      <c r="C25" s="103"/>
      <c r="D25" s="104" t="s">
        <v>235</v>
      </c>
      <c r="E25" s="104" t="s">
        <v>236</v>
      </c>
      <c r="F25" s="105" t="s">
        <v>308</v>
      </c>
      <c r="G25" s="105" t="s">
        <v>267</v>
      </c>
      <c r="H25" s="105" t="s">
        <v>305</v>
      </c>
      <c r="I25" s="105"/>
      <c r="J25" s="105"/>
      <c r="K25" s="105"/>
      <c r="L25" s="105"/>
      <c r="M25" s="105"/>
      <c r="N25" s="105"/>
      <c r="O25" s="105"/>
      <c r="P25" s="105"/>
      <c r="Q25" s="105"/>
      <c r="R25" s="105"/>
      <c r="S25" s="105">
        <v>1</v>
      </c>
      <c r="T25" s="105">
        <v>2</v>
      </c>
      <c r="U25" s="105">
        <v>2</v>
      </c>
      <c r="V25" s="105">
        <v>3</v>
      </c>
      <c r="W25" s="105">
        <v>1</v>
      </c>
      <c r="X25" s="105">
        <v>3</v>
      </c>
      <c r="Y25" s="105">
        <v>2</v>
      </c>
      <c r="Z25" s="105">
        <v>2</v>
      </c>
      <c r="AA25" s="105">
        <v>1</v>
      </c>
      <c r="AB25" s="105"/>
      <c r="AC25" s="105"/>
      <c r="AD25" s="105">
        <v>1</v>
      </c>
      <c r="AE25" s="105">
        <v>1</v>
      </c>
      <c r="AF25" s="105">
        <v>2</v>
      </c>
      <c r="AG25" s="105" t="s">
        <v>309</v>
      </c>
    </row>
    <row r="26" spans="1:34" ht="14.1">
      <c r="A26" s="103" t="s">
        <v>310</v>
      </c>
      <c r="B26" s="103" t="s">
        <v>234</v>
      </c>
      <c r="C26" s="103"/>
      <c r="D26" s="104"/>
      <c r="E26" s="104" t="s">
        <v>236</v>
      </c>
      <c r="F26" s="105" t="s">
        <v>175</v>
      </c>
      <c r="G26" s="105" t="s">
        <v>261</v>
      </c>
      <c r="H26" s="105" t="s">
        <v>305</v>
      </c>
      <c r="I26" s="105"/>
      <c r="J26" s="105"/>
      <c r="K26" s="105"/>
      <c r="L26" s="105"/>
      <c r="M26" s="105"/>
      <c r="N26" s="105"/>
      <c r="O26" s="105"/>
      <c r="P26" s="105"/>
      <c r="Q26" s="105"/>
      <c r="R26" s="105"/>
      <c r="S26" s="105"/>
      <c r="T26" s="105">
        <v>1</v>
      </c>
      <c r="U26" s="105">
        <v>1</v>
      </c>
      <c r="V26" s="105"/>
      <c r="W26" s="105"/>
      <c r="X26" s="105">
        <v>2</v>
      </c>
      <c r="Y26" s="105">
        <v>1</v>
      </c>
      <c r="Z26" s="105">
        <v>1</v>
      </c>
      <c r="AA26" s="105"/>
      <c r="AB26" s="105"/>
      <c r="AC26" s="105"/>
      <c r="AD26" s="105"/>
      <c r="AE26" s="105">
        <v>1</v>
      </c>
      <c r="AF26" s="105">
        <v>1</v>
      </c>
      <c r="AG26" s="105"/>
    </row>
    <row r="27" spans="1:34" ht="14.1">
      <c r="A27" s="103" t="s">
        <v>311</v>
      </c>
      <c r="B27" s="103" t="s">
        <v>256</v>
      </c>
      <c r="C27" s="103"/>
      <c r="D27" s="103"/>
      <c r="E27" s="104" t="s">
        <v>236</v>
      </c>
      <c r="F27" s="105" t="s">
        <v>273</v>
      </c>
      <c r="G27" s="105" t="s">
        <v>267</v>
      </c>
      <c r="H27" s="105" t="s">
        <v>261</v>
      </c>
      <c r="I27" s="105">
        <v>1</v>
      </c>
      <c r="J27" s="105">
        <v>1</v>
      </c>
      <c r="K27" s="105">
        <v>1</v>
      </c>
      <c r="L27" s="105">
        <v>1</v>
      </c>
      <c r="M27" s="105">
        <v>1</v>
      </c>
      <c r="N27" s="105">
        <v>1</v>
      </c>
      <c r="O27" s="105"/>
      <c r="P27" s="105"/>
      <c r="Q27" s="105">
        <v>1</v>
      </c>
      <c r="R27" s="105"/>
      <c r="S27" s="105"/>
      <c r="T27" s="105"/>
      <c r="U27" s="105">
        <v>1</v>
      </c>
      <c r="V27" s="105">
        <v>2</v>
      </c>
      <c r="W27" s="105"/>
      <c r="X27" s="105">
        <v>1</v>
      </c>
      <c r="Y27" s="105">
        <v>1</v>
      </c>
      <c r="Z27" s="105">
        <v>1</v>
      </c>
      <c r="AA27" s="105"/>
      <c r="AB27" s="105">
        <v>1</v>
      </c>
      <c r="AC27" s="105">
        <v>1</v>
      </c>
      <c r="AD27" s="105">
        <v>1</v>
      </c>
      <c r="AE27" s="105"/>
      <c r="AF27" s="105">
        <v>1</v>
      </c>
      <c r="AG27" s="105" t="s">
        <v>312</v>
      </c>
    </row>
    <row r="28" spans="1:34" ht="14.1">
      <c r="A28" s="103" t="s">
        <v>313</v>
      </c>
      <c r="B28" s="103" t="s">
        <v>256</v>
      </c>
      <c r="C28" s="103"/>
      <c r="D28" s="103"/>
      <c r="E28" s="104" t="s">
        <v>236</v>
      </c>
      <c r="F28" s="105" t="s">
        <v>169</v>
      </c>
      <c r="G28" s="105" t="s">
        <v>261</v>
      </c>
      <c r="H28" s="105" t="s">
        <v>261</v>
      </c>
      <c r="I28" s="105"/>
      <c r="J28" s="105"/>
      <c r="K28" s="105"/>
      <c r="L28" s="105"/>
      <c r="M28" s="105"/>
      <c r="N28" s="105"/>
      <c r="O28" s="105"/>
      <c r="P28" s="105"/>
      <c r="Q28" s="105"/>
      <c r="R28" s="105">
        <v>1</v>
      </c>
      <c r="S28" s="105"/>
      <c r="T28" s="105"/>
      <c r="U28" s="105">
        <v>1</v>
      </c>
      <c r="V28" s="105">
        <v>1</v>
      </c>
      <c r="W28" s="105">
        <v>1</v>
      </c>
      <c r="X28" s="105">
        <v>1</v>
      </c>
      <c r="Y28" s="105">
        <v>1</v>
      </c>
      <c r="Z28" s="105">
        <v>1</v>
      </c>
      <c r="AA28" s="105"/>
      <c r="AB28" s="105">
        <v>1</v>
      </c>
      <c r="AC28" s="105"/>
      <c r="AD28" s="105"/>
      <c r="AE28" s="105"/>
      <c r="AF28" s="105"/>
      <c r="AG28" s="105"/>
    </row>
    <row r="29" spans="1:34" ht="14.1">
      <c r="A29" s="103" t="s">
        <v>314</v>
      </c>
      <c r="B29" s="103" t="s">
        <v>256</v>
      </c>
      <c r="C29" s="103" t="s">
        <v>272</v>
      </c>
      <c r="D29" s="103" t="s">
        <v>315</v>
      </c>
      <c r="E29" s="104" t="s">
        <v>240</v>
      </c>
      <c r="F29" s="105" t="s">
        <v>171</v>
      </c>
      <c r="G29" s="105" t="s">
        <v>171</v>
      </c>
      <c r="H29" s="105" t="s">
        <v>237</v>
      </c>
      <c r="I29" s="105"/>
      <c r="J29" s="105"/>
      <c r="K29" s="105"/>
      <c r="L29" s="105"/>
      <c r="M29" s="105">
        <v>1</v>
      </c>
      <c r="N29" s="105"/>
      <c r="O29" s="105">
        <v>1</v>
      </c>
      <c r="P29" s="105">
        <v>1</v>
      </c>
      <c r="Q29" s="105">
        <v>1</v>
      </c>
      <c r="R29" s="105"/>
      <c r="S29" s="105">
        <v>1</v>
      </c>
      <c r="T29" s="105"/>
      <c r="U29" s="105">
        <v>1</v>
      </c>
      <c r="V29" s="105">
        <v>1</v>
      </c>
      <c r="W29" s="105"/>
      <c r="X29" s="105"/>
      <c r="Y29" s="105"/>
      <c r="Z29" s="105"/>
      <c r="AA29" s="105"/>
      <c r="AB29" s="105"/>
      <c r="AC29" s="105"/>
      <c r="AD29" s="105">
        <v>1</v>
      </c>
      <c r="AE29" s="105">
        <v>2</v>
      </c>
      <c r="AF29" s="105"/>
      <c r="AG29" s="105" t="s">
        <v>316</v>
      </c>
    </row>
    <row r="30" spans="1:34" ht="14.1">
      <c r="A30" s="103" t="s">
        <v>317</v>
      </c>
      <c r="B30" s="103" t="s">
        <v>256</v>
      </c>
      <c r="C30" s="103" t="s">
        <v>318</v>
      </c>
      <c r="D30" s="103"/>
      <c r="E30" s="104" t="s">
        <v>240</v>
      </c>
      <c r="F30" s="105" t="s">
        <v>127</v>
      </c>
      <c r="G30" s="105" t="s">
        <v>267</v>
      </c>
      <c r="H30" s="105" t="s">
        <v>267</v>
      </c>
      <c r="I30" s="105"/>
      <c r="J30" s="105"/>
      <c r="K30" s="105"/>
      <c r="L30" s="105"/>
      <c r="M30" s="105"/>
      <c r="N30" s="105"/>
      <c r="O30" s="105"/>
      <c r="P30" s="105"/>
      <c r="Q30" s="105"/>
      <c r="R30" s="105"/>
      <c r="S30" s="105"/>
      <c r="T30" s="105"/>
      <c r="U30" s="105"/>
      <c r="V30" s="105"/>
      <c r="W30" s="105"/>
      <c r="X30" s="105"/>
      <c r="Y30" s="105"/>
      <c r="Z30" s="105"/>
      <c r="AA30" s="105"/>
      <c r="AB30" s="105">
        <v>2</v>
      </c>
      <c r="AC30" s="105">
        <v>2</v>
      </c>
      <c r="AD30" s="105">
        <v>1</v>
      </c>
      <c r="AE30" s="105">
        <v>1</v>
      </c>
      <c r="AF30" s="105">
        <v>2</v>
      </c>
      <c r="AG30" s="105" t="s">
        <v>319</v>
      </c>
    </row>
    <row r="31" spans="1:34" ht="14.1">
      <c r="A31" s="106"/>
      <c r="B31" s="106"/>
      <c r="C31" s="106" t="s">
        <v>202</v>
      </c>
      <c r="D31" s="106"/>
      <c r="E31" s="107"/>
      <c r="F31" s="108"/>
      <c r="G31" s="108"/>
      <c r="H31" s="108"/>
      <c r="I31" s="108">
        <f>SUM(I1:I30)</f>
        <v>5</v>
      </c>
      <c r="J31" s="108">
        <f>SUM(J1:J30)</f>
        <v>12</v>
      </c>
      <c r="K31" s="108">
        <f>SUM(K1:K30)</f>
        <v>5</v>
      </c>
      <c r="L31" s="108"/>
      <c r="M31" s="108"/>
      <c r="N31" s="108"/>
      <c r="O31" s="108"/>
      <c r="P31" s="108"/>
      <c r="Q31" s="108"/>
      <c r="R31" s="108"/>
      <c r="S31" s="108"/>
      <c r="T31" s="108"/>
      <c r="U31" s="108"/>
      <c r="V31" s="108"/>
      <c r="W31" s="108"/>
      <c r="X31" s="108"/>
      <c r="Y31" s="108"/>
      <c r="Z31" s="108"/>
      <c r="AA31" s="108"/>
      <c r="AB31" s="108"/>
      <c r="AC31" s="108"/>
      <c r="AD31" s="108"/>
      <c r="AE31" s="108"/>
      <c r="AF31" s="108"/>
      <c r="AG31" s="108"/>
    </row>
    <row r="32" spans="1:34" ht="15.95">
      <c r="A32" s="106"/>
      <c r="B32" s="106"/>
      <c r="C32" s="106"/>
      <c r="D32" s="106"/>
      <c r="E32" s="109"/>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row>
    <row r="33" spans="1:5" ht="15.95">
      <c r="A33" s="110" t="s">
        <v>320</v>
      </c>
      <c r="B33" s="110" t="s">
        <v>321</v>
      </c>
      <c r="C33" s="110" t="s">
        <v>322</v>
      </c>
      <c r="E33" s="107"/>
    </row>
    <row r="34" spans="1:5" ht="12.95">
      <c r="A34" s="111" t="s">
        <v>240</v>
      </c>
      <c r="B34" s="111" t="s">
        <v>235</v>
      </c>
      <c r="C34" s="107" t="s">
        <v>91</v>
      </c>
      <c r="D34" s="107"/>
      <c r="E34" s="107"/>
    </row>
    <row r="35" spans="1:5" ht="12.95">
      <c r="A35" s="112" t="s">
        <v>323</v>
      </c>
      <c r="B35" s="113" t="s">
        <v>249</v>
      </c>
      <c r="C35" s="107" t="s">
        <v>324</v>
      </c>
      <c r="D35" s="107"/>
      <c r="E35" s="107"/>
    </row>
    <row r="36" spans="1:5" ht="12.95">
      <c r="A36" s="113" t="s">
        <v>325</v>
      </c>
      <c r="C36" s="107" t="s">
        <v>326</v>
      </c>
      <c r="D36" s="107"/>
      <c r="E36" s="107"/>
    </row>
    <row r="37" spans="1:5" ht="12.95">
      <c r="C37" s="107" t="s">
        <v>327</v>
      </c>
    </row>
    <row r="38" spans="1:5" ht="12.95">
      <c r="C38" s="107" t="s">
        <v>328</v>
      </c>
    </row>
    <row r="39" spans="1:5" ht="15.95">
      <c r="A39" s="110" t="s">
        <v>329</v>
      </c>
    </row>
    <row r="40" spans="1:5" ht="12.95">
      <c r="A40" t="s">
        <v>330</v>
      </c>
      <c r="B40" s="114"/>
      <c r="C40" s="114"/>
      <c r="D40" s="114"/>
    </row>
    <row r="41" spans="1:5" ht="14.1">
      <c r="A41" t="s">
        <v>331</v>
      </c>
      <c r="B41" s="114"/>
      <c r="C41" s="114"/>
      <c r="D41" s="103"/>
    </row>
    <row r="42" spans="1:5" ht="14.1">
      <c r="A42" t="s">
        <v>332</v>
      </c>
      <c r="B42" s="114"/>
      <c r="C42" s="114"/>
      <c r="D42" s="103"/>
    </row>
    <row r="43" spans="1:5" ht="14.1">
      <c r="A43" t="s">
        <v>333</v>
      </c>
      <c r="B43" s="114"/>
      <c r="C43" s="114"/>
      <c r="D43" s="103"/>
    </row>
    <row r="44" spans="1:5" ht="14.1">
      <c r="A44" t="s">
        <v>317</v>
      </c>
      <c r="B44" s="114"/>
      <c r="C44" s="114"/>
      <c r="D44" s="103"/>
    </row>
    <row r="45" spans="1:5" ht="12.95">
      <c r="A45" t="s">
        <v>334</v>
      </c>
      <c r="B45" s="114"/>
      <c r="C45" s="114"/>
      <c r="D45" s="114"/>
    </row>
    <row r="46" spans="1:5" ht="12.95">
      <c r="A46" t="s">
        <v>335</v>
      </c>
      <c r="B46" s="114"/>
      <c r="C46" s="114"/>
      <c r="D46" s="114"/>
    </row>
    <row r="47" spans="1:5" ht="12.95">
      <c r="A47" s="114" t="s">
        <v>336</v>
      </c>
      <c r="B47" s="114"/>
      <c r="C47" s="114"/>
      <c r="D47" s="114"/>
    </row>
    <row r="48" spans="1:5" ht="12.95">
      <c r="A48" s="200" t="s">
        <v>330</v>
      </c>
      <c r="B48" s="114"/>
      <c r="C48" s="114"/>
      <c r="D48" s="114"/>
    </row>
    <row r="49" spans="1:4" ht="12.95">
      <c r="A49" s="114"/>
      <c r="B49" s="114"/>
      <c r="C49" s="114"/>
      <c r="D49" s="114"/>
    </row>
    <row r="50" spans="1:4" ht="12.95">
      <c r="A50" s="114"/>
      <c r="B50" s="114"/>
      <c r="C50" s="114"/>
      <c r="D50" s="114"/>
    </row>
    <row r="51" spans="1:4" ht="12.95">
      <c r="A51" s="114"/>
      <c r="B51" s="114"/>
      <c r="C51" s="114"/>
      <c r="D51" s="114"/>
    </row>
    <row r="52" spans="1:4" ht="14.1">
      <c r="A52" s="103"/>
      <c r="B52" s="103"/>
      <c r="C52" s="115"/>
      <c r="D52" s="103"/>
    </row>
    <row r="53" spans="1:4" ht="14.1">
      <c r="A53" s="103"/>
      <c r="B53" s="103"/>
      <c r="C53" s="116"/>
      <c r="D53" s="103"/>
    </row>
    <row r="54" spans="1:4" ht="14.1">
      <c r="A54" s="103"/>
      <c r="B54" s="103"/>
      <c r="C54" s="116"/>
      <c r="D54" s="103"/>
    </row>
  </sheetData>
  <autoFilter ref="A1:AG29" xr:uid="{CEFA8D63-C557-41EE-9517-D529C2DA2359}"/>
  <phoneticPr fontId="44" type="noConversion"/>
  <conditionalFormatting sqref="C34:D36 C37:C38">
    <cfRule type="colorScale" priority="10">
      <colorScale>
        <cfvo type="min"/>
        <cfvo type="percentile" val="50"/>
        <cfvo type="max"/>
        <color rgb="FFF8696B"/>
        <color rgb="FFFFEB84"/>
        <color rgb="FF63BE7B"/>
      </colorScale>
    </cfRule>
  </conditionalFormatting>
  <conditionalFormatting sqref="D2:D6">
    <cfRule type="colorScale" priority="11">
      <colorScale>
        <cfvo type="min"/>
        <cfvo type="percentile" val="50"/>
        <cfvo type="max"/>
        <color rgb="FFF8696B"/>
        <color rgb="FFFFEB84"/>
        <color rgb="FF63BE7B"/>
      </colorScale>
    </cfRule>
  </conditionalFormatting>
  <conditionalFormatting sqref="D2:D31">
    <cfRule type="containsText" dxfId="4" priority="1" operator="containsText" text="nee">
      <formula>NOT(ISERROR(SEARCH("nee",D2)))</formula>
    </cfRule>
    <cfRule type="containsText" dxfId="3" priority="2" operator="containsText" text="ja">
      <formula>NOT(ISERROR(SEARCH("ja",D2)))</formula>
    </cfRule>
  </conditionalFormatting>
  <conditionalFormatting sqref="E2:E36">
    <cfRule type="containsText" dxfId="2" priority="3" operator="containsText" text="slecht">
      <formula>NOT(ISERROR(SEARCH("slecht",E2)))</formula>
    </cfRule>
    <cfRule type="containsText" dxfId="1" priority="4" operator="containsText" text="matig">
      <formula>NOT(ISERROR(SEARCH("matig",E2)))</formula>
    </cfRule>
    <cfRule type="containsText" priority="5" operator="containsText" text="matig">
      <formula>NOT(ISERROR(SEARCH("matig",E2)))</formula>
    </cfRule>
    <cfRule type="containsText" dxfId="0" priority="6" operator="containsText" text="goed">
      <formula>NOT(ISERROR(SEARCH("goed",E2)))</formula>
    </cfRule>
  </conditionalFormatting>
  <conditionalFormatting sqref="E28">
    <cfRule type="colorScale" priority="7">
      <colorScale>
        <cfvo type="min"/>
        <cfvo type="percentile" val="50"/>
        <cfvo type="max"/>
        <color rgb="FFF8696B"/>
        <color rgb="FFFFEB84"/>
        <color rgb="FF63BE7B"/>
      </colorScale>
    </cfRule>
  </conditionalFormatting>
  <conditionalFormatting sqref="E29:E36 E2:E27">
    <cfRule type="colorScale" priority="128">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a73f248-fbf2-4669-8241-4f0e8f7be4c9">
      <Terms xmlns="http://schemas.microsoft.com/office/infopath/2007/PartnerControls"/>
    </lcf76f155ced4ddcb4097134ff3c332f>
    <TaxCatchAll xmlns="de62dcbb-85b6-4648-be29-0d90feff769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7622D32ACF4524493CC002F087BBAC5" ma:contentTypeVersion="19" ma:contentTypeDescription="Create a new document." ma:contentTypeScope="" ma:versionID="ca549b324dffc0774b42e5a811b60357">
  <xsd:schema xmlns:xsd="http://www.w3.org/2001/XMLSchema" xmlns:xs="http://www.w3.org/2001/XMLSchema" xmlns:p="http://schemas.microsoft.com/office/2006/metadata/properties" xmlns:ns2="ea73f248-fbf2-4669-8241-4f0e8f7be4c9" xmlns:ns3="de62dcbb-85b6-4648-be29-0d90feff7696" targetNamespace="http://schemas.microsoft.com/office/2006/metadata/properties" ma:root="true" ma:fieldsID="1af7804ba204e062c1aaa3c7560708ff" ns2:_="" ns3:_="">
    <xsd:import namespace="ea73f248-fbf2-4669-8241-4f0e8f7be4c9"/>
    <xsd:import namespace="de62dcbb-85b6-4648-be29-0d90feff769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73f248-fbf2-4669-8241-4f0e8f7be4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0ab7ceb-df45-4af9-a75f-716804bc6d6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62dcbb-85b6-4648-be29-0d90feff769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0358508-c437-495b-9b05-b751e886544c}" ma:internalName="TaxCatchAll" ma:showField="CatchAllData" ma:web="de62dcbb-85b6-4648-be29-0d90feff76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C9C3A7B2-0FCC-4754-A8DF-191331C30410}"/>
</file>

<file path=customXml/itemProps2.xml><?xml version="1.0" encoding="utf-8"?>
<ds:datastoreItem xmlns:ds="http://schemas.openxmlformats.org/officeDocument/2006/customXml" ds:itemID="{1465E791-89FC-4F8F-BFD0-67217297B970}"/>
</file>

<file path=customXml/itemProps3.xml><?xml version="1.0" encoding="utf-8"?>
<ds:datastoreItem xmlns:ds="http://schemas.openxmlformats.org/officeDocument/2006/customXml" ds:itemID="{0F41D85D-0DEF-48D0-AD20-2CAC103FAE87}"/>
</file>

<file path=customXml/itemProps4.xml><?xml version="1.0" encoding="utf-8"?>
<ds:datastoreItem xmlns:ds="http://schemas.openxmlformats.org/officeDocument/2006/customXml" ds:itemID="{18FA4538-8548-4E04-8C9D-1E71C1490A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Hobbel</dc:creator>
  <cp:keywords/>
  <dc:description/>
  <cp:lastModifiedBy/>
  <cp:revision/>
  <dcterms:created xsi:type="dcterms:W3CDTF">2024-05-16T10:31:25Z</dcterms:created>
  <dcterms:modified xsi:type="dcterms:W3CDTF">2026-09-28T10:24:53Z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0x01010027622D32ACF4524493CC002F087BBAC5</vt:lpwstr>
  </property>
  <property fmtid="{D5CDD505-2E9C-101B-9397-08002B2CF9AE}" pid="3" name="MediaServiceImageTags">
    <vt:lpwstr/>
  </property>
</Properties>
</file>